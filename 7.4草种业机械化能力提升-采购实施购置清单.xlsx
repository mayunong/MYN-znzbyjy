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42" windowHeight="13920"/>
  </bookViews>
  <sheets>
    <sheet name="采购版本" sheetId="1" r:id="rId1"/>
    <sheet name="Sheet2" sheetId="2" r:id="rId2"/>
  </sheets>
  <definedNames>
    <definedName name="_xlnm._FilterDatabase" localSheetId="1" hidden="1">Sheet2!$A$1:$H$236</definedName>
    <definedName name="_xlnm._FilterDatabase" localSheetId="0" hidden="1">采购版本!$A$1:$N$239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<sst xmlns="http://schemas.openxmlformats.org/spreadsheetml/2006/main" count="1464" uniqueCount="389">
  <si>
    <t>草种业机械化能力提升—-购置清单</t>
  </si>
  <si>
    <t>计划金额：</t>
  </si>
  <si>
    <t>金额单位：万元</t>
  </si>
  <si>
    <t>序号</t>
  </si>
  <si>
    <t>设备名称</t>
  </si>
  <si>
    <t>数量</t>
  </si>
  <si>
    <t>单价</t>
  </si>
  <si>
    <t>合计</t>
  </si>
  <si>
    <t>设备地点</t>
  </si>
  <si>
    <t>使用责任人</t>
  </si>
  <si>
    <t>备注</t>
  </si>
  <si>
    <t>已购明细</t>
  </si>
  <si>
    <t>（一）</t>
  </si>
  <si>
    <t>动力机械</t>
  </si>
  <si>
    <t>雷沃M704-2S不带驾驶室（70马力）</t>
  </si>
  <si>
    <t>巴彦淖尔五原基地</t>
  </si>
  <si>
    <t>屈建平</t>
  </si>
  <si>
    <t>已购：原计划</t>
  </si>
  <si>
    <t>东方红C1402（G4）QX(140马力)
履带拖拉机</t>
  </si>
  <si>
    <t>种业中心</t>
  </si>
  <si>
    <t>王磊</t>
  </si>
  <si>
    <t>东方红C1402（G4）(140马力)
履带拖拉机</t>
  </si>
  <si>
    <t>？</t>
  </si>
  <si>
    <t>凯斯轮式拖拉机2204（220马力）</t>
  </si>
  <si>
    <t>凯斯轮式拖拉机2404（240马力）</t>
  </si>
  <si>
    <t>凯斯轮式拖拉机2504（250马力）</t>
  </si>
  <si>
    <t>雷沃M704-B（G4）带驾驶室（70马力）</t>
  </si>
  <si>
    <t>呼和浩特大红成基地</t>
  </si>
  <si>
    <t>李玺</t>
  </si>
  <si>
    <t>已购：新增计划</t>
  </si>
  <si>
    <t>履带式拖拉机FH502（50马力）</t>
  </si>
  <si>
    <t>履带式遥控拖拉机502（50马力）</t>
  </si>
  <si>
    <t>和林/项目</t>
  </si>
  <si>
    <t>履带式遥控拖拉机502含挖机（50马力）</t>
  </si>
  <si>
    <t>潍河504大底盘高配（50马力）</t>
  </si>
  <si>
    <t>呼和浩特百草园</t>
  </si>
  <si>
    <t>赵韦</t>
  </si>
  <si>
    <t>常柴1115型22匹马力履带式遥控拖拉机</t>
  </si>
  <si>
    <t>小计</t>
  </si>
  <si>
    <t>（二）</t>
  </si>
  <si>
    <t>检测设备</t>
  </si>
  <si>
    <t>组装电脑</t>
  </si>
  <si>
    <t>指挥车</t>
  </si>
  <si>
    <t>赵娟</t>
  </si>
  <si>
    <t>大疆RTK</t>
  </si>
  <si>
    <t>通辽市</t>
  </si>
  <si>
    <t>黄振忠</t>
  </si>
  <si>
    <t>大疆智图</t>
  </si>
  <si>
    <t>华辰北斗</t>
  </si>
  <si>
    <t>华测RTK（i70ii）</t>
  </si>
  <si>
    <t>百草园</t>
  </si>
  <si>
    <t>数字指挥车3#</t>
  </si>
  <si>
    <t>/</t>
  </si>
  <si>
    <t>马雨浓</t>
  </si>
  <si>
    <t>旅居车10米裸车+改装</t>
  </si>
  <si>
    <t>多功能测土仪LTY-IIA</t>
  </si>
  <si>
    <t>便携式土壤紧实度仪LJSD-3</t>
  </si>
  <si>
    <t>便携式多参数电化学分析仪-雷磁DBZ-712F</t>
  </si>
  <si>
    <t>超净工作台JB-VD-650（U）</t>
  </si>
  <si>
    <t>手提式灭菌器YXQ-LS-18SI</t>
  </si>
  <si>
    <t>叶绿素测定仪LSY-4N</t>
  </si>
  <si>
    <t>生物显微镜E5</t>
  </si>
  <si>
    <t>数字指挥车2#</t>
  </si>
  <si>
    <t>旅居车13米裸车</t>
  </si>
  <si>
    <t>徕斯达GPS扫描探测仪1206S</t>
  </si>
  <si>
    <t>水分检测仪SH-10A</t>
  </si>
  <si>
    <t>土壤养分测定仪LYT-6PC</t>
  </si>
  <si>
    <t>植物营养测定仪</t>
  </si>
  <si>
    <t>平板显微镜EX20</t>
  </si>
  <si>
    <t>车载监测系统</t>
  </si>
  <si>
    <t>中继台RD980</t>
  </si>
  <si>
    <t>依维柯（只是购买，没有监测设备改造）</t>
  </si>
  <si>
    <t>RTK无人机:包含M300套机、挂载配件，软件等总体预算</t>
  </si>
  <si>
    <t>大疆无人机M300</t>
  </si>
  <si>
    <t>大疆无人机基站</t>
  </si>
  <si>
    <t>无人机电源—正浩户外电源德2</t>
  </si>
  <si>
    <t>云台相机—禅思L1</t>
  </si>
  <si>
    <t>测量型 GNSS 接收机 iRTK10</t>
  </si>
  <si>
    <t>无人机软件—大疆智图测绘版</t>
  </si>
  <si>
    <t>云台相机—禅思P1</t>
  </si>
  <si>
    <t>拍摄无人机DJI Ais2S</t>
  </si>
  <si>
    <t>（三）</t>
  </si>
  <si>
    <t>土地耕整</t>
  </si>
  <si>
    <t>雷肯Juwel84+1N100（210马力，4个主犁，1个副犁）</t>
  </si>
  <si>
    <t>液压翻转犁504配套3铧</t>
  </si>
  <si>
    <t>液压翻转犁704配套3铧</t>
  </si>
  <si>
    <t>液压翻转犁5铧</t>
  </si>
  <si>
    <t>呼和浩特</t>
  </si>
  <si>
    <t>旋耕机-504配套1.6米单轴</t>
  </si>
  <si>
    <t>范慧军</t>
  </si>
  <si>
    <t>旋耕机-704配套2米中高箱单轴</t>
  </si>
  <si>
    <t>旋耕机-2.5米双轴</t>
  </si>
  <si>
    <t>呼和浩特土左旗基地</t>
  </si>
  <si>
    <t>刘志强</t>
  </si>
  <si>
    <t>双周灭茬旋耕机-1GQNM-230,前旋后灭茬，耕深12-16cm</t>
  </si>
  <si>
    <t>履带式遥控旋耕机</t>
  </si>
  <si>
    <t>垂直动力耙</t>
  </si>
  <si>
    <t>驱动耙3.5米</t>
  </si>
  <si>
    <t>圆盘耙3.6米带整地</t>
  </si>
  <si>
    <t>齿耙-504配套2米</t>
  </si>
  <si>
    <t>齿耙-704配套定做3米</t>
  </si>
  <si>
    <t>呼和浩特大红城基地</t>
  </si>
  <si>
    <t>弹力耙-3米</t>
  </si>
  <si>
    <t>齿耙-折叠式6米</t>
  </si>
  <si>
    <t>大耙-604配套24片</t>
  </si>
  <si>
    <t>耱-604配套2.5米</t>
  </si>
  <si>
    <t>大耙-704配套26片</t>
  </si>
  <si>
    <t>耱-704配套2.5米</t>
  </si>
  <si>
    <t>铁耱-折叠式5米</t>
  </si>
  <si>
    <t>起垄机-504配套</t>
  </si>
  <si>
    <t>多功能松土机-定制，松土深度50-80cm以上，工作宽幅2.5m，配置11个钻头</t>
  </si>
  <si>
    <t>盐碱地改良拌合机（肥料拌合）</t>
  </si>
  <si>
    <t>狼牙磙230型框架</t>
  </si>
  <si>
    <t>（四）</t>
  </si>
  <si>
    <t>养护管理</t>
  </si>
  <si>
    <t>撒肥车2FGH-3SL</t>
  </si>
  <si>
    <t>呼和浩特浑河基地</t>
  </si>
  <si>
    <t>固态肥抛撒车9GF-20</t>
  </si>
  <si>
    <t>撒肥机600L</t>
  </si>
  <si>
    <t>施肥耕锄</t>
  </si>
  <si>
    <t>撒肥机800L</t>
  </si>
  <si>
    <t>撒肥机2000L</t>
  </si>
  <si>
    <t>施肥耘锄2米</t>
  </si>
  <si>
    <t>撒肥机，定制，20立方双链排双减速机，希迈进口减速机，齿轮箱</t>
  </si>
  <si>
    <t>撒肥机，定制，横置双绞龙，20立方双链排双减速机，希迈进口减速机，齿轮箱</t>
  </si>
  <si>
    <t>大疆无人机T50</t>
  </si>
  <si>
    <t>无人机电池—2*TB60智能飞行电池</t>
  </si>
  <si>
    <t>无人机电池箱—BS60智能电池箱</t>
  </si>
  <si>
    <t>打药机500L展臂8米</t>
  </si>
  <si>
    <t>呼和浩特百草园基地1曙光基地1</t>
  </si>
  <si>
    <t>赵韦1董文利1</t>
  </si>
  <si>
    <t>打药机800L展臂12米</t>
  </si>
  <si>
    <t>呼和浩特大红城基地1五原基地1</t>
  </si>
  <si>
    <t>悬挂打药机12米</t>
  </si>
  <si>
    <t>履带式施肥打药机</t>
  </si>
  <si>
    <t>履带式多功能修剪机-JK331型</t>
  </si>
  <si>
    <t>（五）</t>
  </si>
  <si>
    <t>播种种植</t>
  </si>
  <si>
    <t>2.7米盘式双箱带管独立轮条播机</t>
  </si>
  <si>
    <t>3.6米圆盘式双箱独立轮条播机</t>
  </si>
  <si>
    <t>巴彦淖尔乌拉特中旗</t>
  </si>
  <si>
    <t>郑凯</t>
  </si>
  <si>
    <t>豪狮avastar4.16sd</t>
  </si>
  <si>
    <t>德邦大为G1805-DC</t>
  </si>
  <si>
    <t>锡林郭勒盟乌拉盖基地</t>
  </si>
  <si>
    <t>陈翔</t>
  </si>
  <si>
    <t>1.4米盘式双箱带管独立轮条播机</t>
  </si>
  <si>
    <t>绳带播种机-两行</t>
  </si>
  <si>
    <t>绳带播种机-单行</t>
  </si>
  <si>
    <t>植生块覆种机CFZ-X1</t>
  </si>
  <si>
    <t>植生块覆种机-定制</t>
  </si>
  <si>
    <t>栽植机—履带式、纯电动</t>
  </si>
  <si>
    <t>钻孔机-定制皮带款8钻孔机、钻孔直径10cm、深度100cm</t>
  </si>
  <si>
    <t>钻孔机-定制牵引式液压8钻孔机、钻孔直径10cm、深度100cm</t>
  </si>
  <si>
    <t>自走式移栽机-70马力涡轮增压发动机</t>
  </si>
  <si>
    <t>移栽机-四座</t>
  </si>
  <si>
    <t>（六）</t>
  </si>
  <si>
    <t>采收处理</t>
  </si>
  <si>
    <t>割草压扁机-爱科MD306</t>
  </si>
  <si>
    <t>董文利</t>
  </si>
  <si>
    <t>割草压扁机-纽荷兰SR220PLUS+DB46PLUS</t>
  </si>
  <si>
    <t>履带式纯电动收割机</t>
  </si>
  <si>
    <t>搂草机-爱科RK802</t>
  </si>
  <si>
    <t>捡拾压捆机-爱科MF2270</t>
  </si>
  <si>
    <t>装载机抓包机-柳工820H</t>
  </si>
  <si>
    <t>装载机：明宇942C</t>
  </si>
  <si>
    <t>呼和浩特曙光基地</t>
  </si>
  <si>
    <t>装载机：明宇942A</t>
  </si>
  <si>
    <t>抓草机- T937（含抓子、铲子、4.6米长臂）</t>
  </si>
  <si>
    <t>锡林郭勒西乌旗</t>
  </si>
  <si>
    <t>摊晒机-爱科TD776</t>
  </si>
  <si>
    <t>多缸四轮带动割晒机1.8米</t>
  </si>
  <si>
    <t>（七）</t>
  </si>
  <si>
    <t>新增—田间运输类</t>
  </si>
  <si>
    <t>履带随车挖JX-10</t>
  </si>
  <si>
    <t>履带式遥控平板车：载重2吨，增程式、可遥控操作1.5米宽</t>
  </si>
  <si>
    <t>随车起重运输车：徐工牌XGS51310JSQS6</t>
  </si>
  <si>
    <t>仓栅式运输半挂车：环陆牌LYT9400CCY</t>
  </si>
  <si>
    <t>牵引汽车：陕汽牌SX259XD4F1</t>
  </si>
  <si>
    <t>自卸三轮车：五征7YP-1450DF6N4</t>
  </si>
  <si>
    <t>自卸三轮车：五征奥翔1200</t>
  </si>
  <si>
    <t>电动三轮车</t>
  </si>
  <si>
    <t>周志敏</t>
  </si>
  <si>
    <t>贺真君</t>
  </si>
  <si>
    <t>张俊奎</t>
  </si>
  <si>
    <t>长城皮卡</t>
  </si>
  <si>
    <t>运输车—四履带式、柴油发电机</t>
  </si>
  <si>
    <t>剩余计划（总5224.85-已购2546.42=2678.43）</t>
  </si>
  <si>
    <t>需求计划清单</t>
  </si>
  <si>
    <t>采购实施清单</t>
  </si>
  <si>
    <t>清单说明</t>
  </si>
  <si>
    <t>需求地</t>
  </si>
  <si>
    <t>联系人</t>
  </si>
  <si>
    <t>名称</t>
  </si>
  <si>
    <t>总价</t>
  </si>
  <si>
    <t>参数</t>
  </si>
  <si>
    <t>雷沃904</t>
  </si>
  <si>
    <t>904拖拉机</t>
  </si>
  <si>
    <t>1 发动机额定功率（马力）≥90
2 驱动型式：四轮驱动
3 离合器形式 ：双作用
4 驾驶室 ：空调驾驶室
5 排放标准 ：国四
6 档位：12+12
7 提升器形式 ：双强压带截止阀
8 多路阀 ：2组
9 变速箱换挡方式：同步器
10 后动力输出轴转速（转/分）：540/760-8键
11 轴距调节方式（mm）：有级可调</t>
  </si>
  <si>
    <t>正常执行采购</t>
  </si>
  <si>
    <t>王强1郑凯1</t>
  </si>
  <si>
    <t>计划内</t>
  </si>
  <si>
    <t>1504拖拉机：轮式，四驱，150马力以上，可配套使用类似1840SXD小方捆打捆机（带导航）</t>
  </si>
  <si>
    <t>1404拖拉机</t>
  </si>
  <si>
    <t>1 额定功率（马力）≥140
2 排放标准：国四
3 发动机缸数： 4
4 驱动型式：四轮驱动
5 进气/喷射系统 ：涡轮增压、中冷、高压共轨
6 变速箱档位数（前进/后退）≥12+12
7 换挡方式：同步器
8 换向方式：动力换向
9 最大行驶速度（km/h） ≥35
10 转向系型式 ：液压
11 后悬挂类型： 3类，挂勾式
12 最大提升力（千克）@610mm （kg） ≥3000
13 液压三点悬挂耕深调节方式 ：力位综合控制
14 液压输出阀数目（个） ≥2
15 动力输出轴转速（转/分）：540/750
16 轴距（mm） ≥2500
17 最小使用质量（kg）≥4500
18 轮胎：前轮380/85R28；后轮460/85R38
19 驾驶室： 标准驾驶室、冷暖空调
20 前配重（kg）≥700
21 后配重（kg）≥300</t>
  </si>
  <si>
    <t>总价调减执行采购</t>
  </si>
  <si>
    <t>巴彦淖尔乌拉特中旗基地</t>
  </si>
  <si>
    <t>新增</t>
  </si>
  <si>
    <t>1504拖拉机：轮式，四驱，150马力以上，可配套使用3米割草机、摊晒机、搂草机</t>
  </si>
  <si>
    <t>王强</t>
  </si>
  <si>
    <t>新增5台</t>
  </si>
  <si>
    <t>2304拖拉机</t>
  </si>
  <si>
    <t>2904拖拉机</t>
  </si>
  <si>
    <t>1 额定马力（马力）≥290
2 驱动型式：四轮驱动
3 进气/喷射系统：具备涡轮增压、中冷、高压共轨
4 最大扭矩@1500转/分（牛米）≥1280
5 排放标准：国四
6 油箱容量（升）≥460
7 冷却系统：水冷
8 冷却系统风扇类型：可变转速
9 变速箱换挡方式：无级变速
10 最大行驶速度（km/h）：40
11 转向系统型式：全液压
12 后悬类型：三类
13 最大提升质量（kg）≥10000
14 液压系统型式及最大流量（L/min）：闭心式负载传感，180≤L≤205
15 液压三点悬挂耕深调节方式：力、位、力位综合控制
16 液压输出阀数目≥4组
17 动力输出轴转速（转/分）：1000+1000E
18 轴距（mm） ：3050
19 轮距调整方式：改变辐板和轮辋的位置调节
20 驾驶室：带冷暖空调、气动座椅配副驾驶、大型扶手控制台、虚拟终端控制屏
21 最小使用质量（kg）≥10500</t>
  </si>
  <si>
    <t>新增1台</t>
  </si>
  <si>
    <t>2504拖拉机：300马力及以上，轮式，四驱；CVT变速箱，无压回油，可配套使用类似2270XD大方捆打捆机</t>
  </si>
  <si>
    <t>230马力；带导航；可以替换同等马力性价比高的，轮胎前单后单，可带五铧犁，圆盘耙</t>
  </si>
  <si>
    <t>2504拖拉机</t>
  </si>
  <si>
    <t>1 发动机额定功率（马力）：≥250
2 驱动型式： 四轮驱动
3 进气/喷射系统 ：具备涡轮增压、中冷、高压共轨
4 最大扭矩（牛.米） ≥1100
5 排放标准： 国四
6 缸数： 6缸
7 排量（升） ≥6.7升
8 油箱容量（升）≥398升 
9 变速箱换挡方式：无级变速
10 最大行驶速度（km/h）： 40
11 最大提升质量（610mm）处KG ≥7279
12 液压系统最大流量（L/min）：140≤L≤160
13 液压输出阀数目：4组电控
14 后动力输出轴转速（转/分）：540E/1000
15 最小转弯半径（米）：6.1</t>
  </si>
  <si>
    <t>锡林郭勒乌拉盖基地</t>
  </si>
  <si>
    <t>崔海鹏</t>
  </si>
  <si>
    <t>计划内：之前1台，新增1台</t>
  </si>
  <si>
    <t>180马力以上，可带4米的播种机、喷雾器、免耕机</t>
  </si>
  <si>
    <t>2004拖拉机</t>
  </si>
  <si>
    <t>1 额定马力（马力）≥200
2 驱动型式：四轮驱动
3 进气/喷射系统：具备涡轮增压、中冷、高压共轨
4 最大扭矩@带EPM（牛米）≥925
5 最大EPM马力≥220
6 排放标准：国四
7 油箱容量（升）≥305
8 冷却系统：水冷
9 冷却系统风扇类型：可变转速
10 变速箱换挡方式：无级变速
11 最大行驶速度（km/h）：40
12 前桥/驾驶室：重载悬浮前桥/悬浮驾驶室
13 转向系统型式：全液压
14 后悬类型：三类
15 最大提升质量（kg）≥9600
16 液压系统型式及最大流量（L/min）：闭心式负载传感，90≤L≤110
17 液压三点悬挂耕深调节方式：力、位、力位综合控制
18 液压输出阀数目≥4组电控
19 动力输出轴转速（转/分）：540/540E/1000/1000E
20 轴距（mm）：2850
21 轮距调整方式：改变辐板和轮辋的位置调节
22 驾驶室：带冷暖空调、气动座椅配副驾驶、多功能座椅扶手、虚拟终端控制屏
23 最小使用质量（kg）≥8300</t>
  </si>
  <si>
    <t>配套拖拉机导航</t>
  </si>
  <si>
    <t>1 显控终端  
 屏幕 液晶屏，LED背光，1280*800像素
 供电 9V~36V
 工作（存储）温度 -20℃~+70℃（-40℃~+85℃）
2 RTK一体机 
 频率范围 BDS B1/B2/B3
 工作电压 9V~36V
 尺寸 Φ162*78mm
 工作（存储）温度 -20℃~+70℃（-40℃~+85℃）
 防水防尘 IP67
3 方向盘 电动方向盘，电源输入12V/24VDC
4 直线度精度 &lt;±2.5cm
5 交接行精度  &lt;±2.5cm</t>
  </si>
  <si>
    <t>单价调减执行采购</t>
  </si>
  <si>
    <t>RTK</t>
  </si>
  <si>
    <t>董文利提供参数</t>
  </si>
  <si>
    <t>董文利1乌拉盖1</t>
  </si>
  <si>
    <t>计划内：总数1，需求2？</t>
  </si>
  <si>
    <t>（液压翻转犁）210马力，4个主犁，1个副犁，每个犁体的工作宽度33－50cm，深度30-40cm</t>
  </si>
  <si>
    <t>液压翻转犁</t>
  </si>
  <si>
    <t>230马力以上配套，5铧
1 作业幅宽（米）:1.75-2.75
2 犁铧间距（cm）:115
3 犁梁下离地高度（cm）: 80
4 作业单体幅宽（cm）:35-50，可调节
5 整机进口</t>
  </si>
  <si>
    <t>崔海鹏2郑凯2马雨浓5</t>
  </si>
  <si>
    <t>液压翻转犁：180马力拖拉机适配的犁</t>
  </si>
  <si>
    <t>180马力以上配套，5铧
1 作业幅宽（米）:1.75-2.75
2 犁铧间距（cm）:115
3 犁梁下离地高度（cm）: 80
4 作业单体幅宽（cm）:35-50，可调节
5 整机进口</t>
  </si>
  <si>
    <t>单价调增执行采购</t>
  </si>
  <si>
    <t>计划内，新增2台</t>
  </si>
  <si>
    <t>旋耕机3-4米</t>
  </si>
  <si>
    <t>旋耕机</t>
  </si>
  <si>
    <t>3-4米
1 功率KW: 74-96
2 重量（Kg）:962
4 刀片数:72
5 理论工作深度:27CM
6 总宽度:333CM</t>
  </si>
  <si>
    <t>计划内，新增1台</t>
  </si>
  <si>
    <t>3.5米-4米驱动耙-带棍子</t>
  </si>
  <si>
    <t>驱动耙</t>
  </si>
  <si>
    <t>3.5米-4米-带棍子
1、工作宽度3.5/4米，PTO转速1000转/分，带狼牙钉式镇压器，三点悬挂
2、耙齿数3.5米14个，配套160-200马力；4米16个，配套200-230马力
3、重型加大齿轮箱；槽箱内含半液体状润滑油，保障齿轮传动系统永久润滑；
4、槽箱的箱壁和箱盖牢固焊接成一体，防止扭曲，低噪音并且精确运转；
5、通过调节变速箱可改变耙齿转速；</t>
  </si>
  <si>
    <t>3.5米驱动耙（与230和250马力拖拉机配套使用）</t>
  </si>
  <si>
    <t>3.5米
1、工作宽度3.5/4米，PTO转速1000转/分，带狼牙钉式镇压器，三点悬挂
2、耙齿数3.5米14个，配套160-200马力；4米16个，配套200-230马力
3、重型加大齿轮箱；槽箱内含半液体状润滑油，保障齿轮传动系统永久润滑；
4、槽箱的箱壁和箱盖牢固焊接成一体，防止扭曲，低噪音并且精确运转；
5、通过调节变速箱可改变耙齿转速；</t>
  </si>
  <si>
    <t>圆盘耙</t>
  </si>
  <si>
    <t>4米
1、工作宽度4米,带折叠，折叠后宽度3米，半悬挂式挂接
2、耙片数32片，耙片直径620毫米，配套动力200-270马力
3、适用于荒地、秸秆地、玉米茬地或是高茬地灭茬作业，也适用于播前苗床准备整地作业
4、两排缺口耙片，配置两排梳理弹齿，保证土壤整平后侧配置双镇压棍
5、圆盘耙片采用免维护的径向推力球轴承，无需保养，从而大大降低保养维护的费用
6、在遇到坚硬的异物，比如石块的时候耙片能够独自向上移位，螺旋弹簧装置保证在耙片通过异物之后又能够迅速恢复到原位</t>
  </si>
  <si>
    <t>疏松辊子，3米，确保与农业机械的其他部件有效连接，保证整体的协调性和稳定性</t>
  </si>
  <si>
    <t>疏松辊子</t>
  </si>
  <si>
    <t>3米，确保与农业机械的其他部件有效连接，保证整体的协调性和稳定性，其他特性需求基地提供详细参数</t>
  </si>
  <si>
    <t>联合整地机，4米（（与230和250马力拖拉机配套使用））</t>
  </si>
  <si>
    <t>联合整地机</t>
  </si>
  <si>
    <t>4米
1、工作宽度4米，不带折叠，弹簧过载保护，三点悬挂连接；配套180-220马力
2、深松齿数14个，耙片对数4对，铲尖作业距离28厘米，梁离地高度80厘米
3、该设备可实现深松、灭茬、碎土、平地效果，工作深度最大可达到30厘米
4、配备快换K6铲尖</t>
  </si>
  <si>
    <t>无需求人员是否增加？计划内</t>
  </si>
  <si>
    <t>捡石机（型号由马雨浓确定）</t>
  </si>
  <si>
    <t>捡石机</t>
  </si>
  <si>
    <t>（参数参照之前采购的捡石机）山东鸿友，其他特性需求基地提供详细参数</t>
  </si>
  <si>
    <t>镇压器-液压折叠，带厂家信息，斯图发石文文</t>
  </si>
  <si>
    <t>镇压器</t>
  </si>
  <si>
    <t>液压折叠，带厂家信息，斯图发石文文，其他特性需求基地提供详细参数</t>
  </si>
  <si>
    <t>抛肥机-配雷沃704：容量1吨，抛洒范围：2-6米；配雷沃704，抛撒颗粒肥</t>
  </si>
  <si>
    <t>抛肥机</t>
  </si>
  <si>
    <t>容量1吨，抛洒范围：2-6米；配雷沃704，抛撒颗粒肥，其他特性需求基地提供详细参数</t>
  </si>
  <si>
    <t>陈国威</t>
  </si>
  <si>
    <t>此项计划已执行</t>
  </si>
  <si>
    <t>此项与已购项重复，删除此项</t>
  </si>
  <si>
    <r>
      <rPr>
        <sz val="12"/>
        <color rgb="FF000000"/>
        <rFont val="宋体"/>
        <charset val="134"/>
      </rPr>
      <t>松土施肥机：德邦大为9ST-480:设备参数：型号9ST一480型，外形尺寸：长2.2m宽3.4m高1.5m；配套动力1004拖拉机，挂接方式：三点悬挂，配套PTO转速540rpm，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宋体"/>
        <charset val="134"/>
      </rPr>
      <t>作业速度：3∽4Km/h，工作幅宽3.2m，工作行距0.8m，作业行数4，作业效率：15一20亩/h，整机重量1580kg，肥箱：3.5-4立方</t>
    </r>
  </si>
  <si>
    <t>松土施肥机</t>
  </si>
  <si>
    <t>型号9ST一480型，
外形尺寸：长2.2m宽3.4m高1.5m；
配套动力1004拖拉机，
挂接方式：三点悬挂，配套PTO转速540rpm， 
作业速度：3∽4Km/h，工作幅宽3.2m，
工作行距0.8m，作业行数4，
作业效率：15一20亩/h，
整机重量1580kg，肥箱：3.5-4立方</t>
  </si>
  <si>
    <t>数量调减执行采购</t>
  </si>
  <si>
    <t>计划内：减少1台，名字调整按此入账</t>
  </si>
  <si>
    <t>无人机-管理巡防机（飞控长距），电池续航长（5h)</t>
  </si>
  <si>
    <t>无人机</t>
  </si>
  <si>
    <t>管理巡防机（飞控长距），电池续航长（5h)，大疆，其他特性需求基地提供详细参数</t>
  </si>
  <si>
    <t>无人机-管理巡防机（飞控短距）</t>
  </si>
  <si>
    <t>管理巡防机（飞控短距），大疆，其他特性需求基地提供详细参数</t>
  </si>
  <si>
    <t>中旗2（需要带喊话功能）、海拉尔2、沟子板1、天山2、乌拉盖1（不需要带喊话）</t>
  </si>
  <si>
    <t>大疆无人机T100+电池</t>
  </si>
  <si>
    <t>大疆无人机</t>
  </si>
  <si>
    <t>T100+电池
1、播撒 150 升播撒容量，最大起飞重量149.9公斤，85公斤吊运，9分钟快充；
2、共轴双旋翼设计搭配碳纤维桨叶，带来性能、效率，安全冗余的全面提升；
3、T100 搭载全新激光雷达、有源相控阵雷达[6]以及五目鱼眼视觉系统，可全向感知和观察周围环境，精准识别障碍物
4、可配C12000智能充电器或者CC15000智能车载充电器
5、机臂展开，桨叶展开：3220 mm × 3224 mm × 975 mm
6、工作环境温度  0 ℃ 至 40 ℃，最大可承受风速  6 m/s</t>
  </si>
  <si>
    <t>植保无人车</t>
  </si>
  <si>
    <t>取消采购计划</t>
  </si>
  <si>
    <t>自走式打药机，液压臂控制打药高度大臂展：容积2吨</t>
  </si>
  <si>
    <t>自走式打药机</t>
  </si>
  <si>
    <t>液压臂控制打药高度大臂展：容积2吨，其他特性需求基地提供详细参数</t>
  </si>
  <si>
    <t>屈政</t>
  </si>
  <si>
    <t>容量500L，抛洒范围6-12米；配雷沃704；自带搅药壶-配雷沃704</t>
  </si>
  <si>
    <t>打药机</t>
  </si>
  <si>
    <t>容量500L，抛洒范围6-12米；配雷沃704；自带搅药壶-配雷沃704，其他特性需求基地提供详细参数</t>
  </si>
  <si>
    <t>呼和浩特基地</t>
  </si>
  <si>
    <t>悬挂液压式-展臂
2000升</t>
  </si>
  <si>
    <t>悬挂液压式</t>
  </si>
  <si>
    <t>展臂2000升，其他特性需求基地提供详细参数</t>
  </si>
  <si>
    <t>对行除草机</t>
  </si>
  <si>
    <t>1、6行
2、大单体
3、A型铲
4、手指盘40型
5、大护苗盘
6、光学识别高清摄像头一个
7、LED夜间作业照明系统一套
8、智能终端控制系统显示器一套
9、集成一体横向滑动主框架一套</t>
  </si>
  <si>
    <t>周庚</t>
  </si>
  <si>
    <t>3.6米播种机</t>
  </si>
  <si>
    <t>播种机</t>
  </si>
  <si>
    <t>3.6米，其他特性需求基地提供详细参数</t>
  </si>
  <si>
    <t>贺翔</t>
  </si>
  <si>
    <t>4米播种机</t>
  </si>
  <si>
    <t>4米宽，牵引式，4种箱，1肥箱，带切根10-15㎝，播种单体±25cm行程</t>
  </si>
  <si>
    <t>3.5米以上气吸式播种机，行距可调范围3米-4米</t>
  </si>
  <si>
    <t>3.5米以上气吸式，行距可调范围3米-4米，其他特性需求基地提供详细参数</t>
  </si>
  <si>
    <t>4米播种机（布谷）</t>
  </si>
  <si>
    <t>4米，其他特性需求基地提供详细参数</t>
  </si>
  <si>
    <t>计划内：此需求不是之前已经调整为5台免耕播种机吗？</t>
  </si>
  <si>
    <t>穴播机定制
可更换不同孔径和穴数的播种盘
行数：6行；行距：30-80cm可调；苜蓿1穴3-5粒种子，满足50-200亩地块
不限定品牌</t>
  </si>
  <si>
    <t>苜蓿穴播机定制</t>
  </si>
  <si>
    <t>1 运输宽度（m）：6
2 重量（Kg）：700
4 种箱容量（L）：32
5 行数：8行
6 前限深轮直径（mm） ：280*65
7 后镇压轮直径（cm）： 300*65
8 播种深度（cm）:大于等于0.5
9 运行速度（公里/小时）:6-8
10 开沟器：靴式开沟器
11 苜蓿1穴3-5粒种子，满足50-200亩地块
12 行距30-80cm可调；可更换不同孔径和穴数的播种盘</t>
  </si>
  <si>
    <t>4米气喷式免耕条播机</t>
  </si>
  <si>
    <t>免耕播种机-中科腾森2BFQB系列复式精量条播机</t>
  </si>
  <si>
    <t>免耕播种机</t>
  </si>
  <si>
    <t>复式精量条播机，其他特性需求基地提供详细参数</t>
  </si>
  <si>
    <t>无尘搂草机</t>
  </si>
  <si>
    <t>其他特性需求基地提供详细参数</t>
  </si>
  <si>
    <t>方捆机-2270XD："1、草捆截面（mm）宽×高：≥1200×850
2、草捆长度（mm）50≤L≤3000
3、捡拾宽度（mm）≥2000
2270XD每小时45至55包，每包重550㎏（燕麦）"
"1、捡拾宽度≥2200mm
2、压缩室横截面尺寸宽≥445mm，高≥360mm
3、草捆长度290mm＜L≤1350mm
1840XD每小时300 至500包，单包重量20㎏至30㎏"</t>
  </si>
  <si>
    <t>MF2270打捆机</t>
  </si>
  <si>
    <t>1 草捆截面（mm）宽×高：≥1200×850
2 草捆长度（mm）50≤L≤3000
3 捡拾宽度（mm）≥2000
4 捡拾器的提升：液压油缸控制
5 捡拾器结构形式：弹齿式
6 喂入器结构形式：拨叉喂入机构 
7 打结器数量（个）：6
8 打结器类型 ：双打结
9 打捆活塞速度（冲程/min） ≥47
10 打捆活塞行程（mm）≥740
11 草捆密度控制：液压控制
12 显示及控制终端：触摸式彩色显示屏
13 配套拖拉机PTO转速（r/min）：1000
14 每小时45至55包，每包重550㎏（燕麦）</t>
  </si>
  <si>
    <t>方捆机-1840SXD：1、捡拾宽度≥2200mm
2、压缩室横截面尺寸宽≥445mm，高≥360mm
3、草捆长度290mm＜L≤1350mm
1840XD每小时300 至500包，单包重量20㎏至30㎏</t>
  </si>
  <si>
    <t>1840SXD打捆机</t>
  </si>
  <si>
    <t>1 挂接方式:牵引式
2 捡拾器型式:弹齿式
3 捡拾宽度≥2200mm
4 压缩室横截面尺寸:宽≥445mm，高≥360mm
5 草捆长度:290mm＜L≤1350mm
6 活塞往复次数:100次/min
7 打结器数量: 2个
8 喂入型式:拨叉喂入
9 捆扎方式:自动绳打捆
10 动力输出轴转速:540r/min
11 密度控制方式:液压油缸调节
12 每小时300 至500包，单包重量20㎏至30㎏</t>
  </si>
  <si>
    <t>捡包机：草捆尺寸：2米*1米，要求车长改为12米
同打捆机匹配使用</t>
  </si>
  <si>
    <t>捡包机</t>
  </si>
  <si>
    <t>草捆尺寸：2米*1米，要求车长改为12米，同打捆机匹配使用，其他特性需求基地提供详细参数</t>
  </si>
  <si>
    <t>乌拉特中旗1呼和浩特1</t>
  </si>
  <si>
    <t>郑凯，刘志强</t>
  </si>
  <si>
    <t>抓包机-带铲子，带抓</t>
  </si>
  <si>
    <t>抓包机</t>
  </si>
  <si>
    <t>带铲子，带抓，其他特性需求基地提供详细参数</t>
  </si>
  <si>
    <t>新增2台</t>
  </si>
  <si>
    <t>田间种子清选机：筛板好更换；上料口可存料多层筛板
（去除秸秆及尘土）</t>
  </si>
  <si>
    <t>田间种子清选机</t>
  </si>
  <si>
    <t>筛板好更换；上料口可存料多层筛板（去除秸秆及尘土），其他特性需求基地提供详细参数</t>
  </si>
  <si>
    <t>呼和浩特曙光地</t>
  </si>
  <si>
    <t>牵引式割草机：后置飞刀割草机；404牵引</t>
  </si>
  <si>
    <t>牵引式割草机</t>
  </si>
  <si>
    <t>后置飞刀割草机；404牵引，其他特性需求基地提供详细参数</t>
  </si>
  <si>
    <t>秸秆还田机2104</t>
  </si>
  <si>
    <t>秸秆还田机704</t>
  </si>
  <si>
    <t>起苗机-带振动筛</t>
  </si>
  <si>
    <t>其他特性需求基地提供详细参数（如无明确需求人可删除）</t>
  </si>
  <si>
    <t>联合收割机</t>
  </si>
  <si>
    <t>联合收割机+三割台</t>
  </si>
  <si>
    <t>1 额定功率≥140kw
2 排放:国四
3 油箱容积≥400L
4 喂入量:7-8千克/秒
5 割台:标配玉米割台，大豆割台，稻麦割台
6 脱粒分离形式	:逐稿器
7 粮仓容积	≥6000L
8 最大卸粮速度	≤75升/秒
9	 切碎器	:标配
10	切碎/放铺快速切换	:标配
11	行走驱动:机械
12	冷暖空调:标配
13 外形尺寸(长*宽*高)mm	4000*2650*1050
14 有效幅宽:3.4
15 螺旋搅龙宽度:3.6
16 整机质量:840kg
17 弹齿数量个:316
18 驱动辊直径	mm:	114
19 驱动辊转数	r/min	:95--370
20 被动辊直径	mm:	89
21 两辊中心距	mm:	660
22 螺旋搅龙转数	r/min:	155</t>
  </si>
  <si>
    <t>数量调整，单价调整执行采购</t>
  </si>
  <si>
    <t>乌拉盖2台，乌拉特中旗2台，其余在呼和浩特按需求统一调拨；乌拉盖河乌拉特中旗每个基地优先保证2台270，马雨浓负责安排2个基地测试爱科新机器</t>
  </si>
  <si>
    <t>崔海鹏，郑凯等</t>
  </si>
  <si>
    <t>小粒种子联合收割机</t>
  </si>
  <si>
    <t>1 发动机(国四排放标准)	:爱科动力
2 排量	升:	7.4L
3 气缸:6
4 额度功率	千瓦/马力:	189/257
5 最高行驶速度	公里/小时	:25
6 液压四驱:标配
7 脱粒滚筒宽度	毫米:1346
8 脱粒滚筒直径	毫米:600
9 逐稿器:5键
10 清选总面积	平方米:	6.72
11 粮箱容积	升	:6500
12 卸粮速度	升/秒:	85
13	秸秆切碎器:选配
14 	燃油箱容积	升	:450
15	外形尺寸(长宽高)	毫米:8700/3000/4000
16 重量(不带割台)	千克:11900</t>
  </si>
  <si>
    <t>马雨浓（苜蓿收获）</t>
  </si>
  <si>
    <t>2304-配车斗，自卸，后翻，马槽高度1.5-2米，高栏，考虑带盖</t>
  </si>
  <si>
    <t>配车斗，自卸，后翻，马槽高度1.5-2米，高栏，考虑带盖，其他特性需求基地提供详细参数</t>
  </si>
  <si>
    <t>自卸三轮车</t>
  </si>
  <si>
    <t>是否为基地已完成采购的三轮车重复？</t>
  </si>
  <si>
    <t>无需求，此项删除</t>
  </si>
  <si>
    <t>车斗</t>
  </si>
  <si>
    <t>（八）</t>
  </si>
  <si>
    <t>AI类设备</t>
  </si>
  <si>
    <t>AI动力机器人："作业参数：支持挂载旋耕刀转速400-700rpm可调；耕深10-30可调；播种深度2-12cm，播量0.5-50kg/亩；行距10-40cm可调；抛撒幅宽5-15m可调，肥箱容积500-1000L；
控制系统要求：主控单元：NVIDIA Jetson AGX Xavier；通信协议：5G+LoRa双模；传感器为土壤电导率仪+多光谱相机
行走系统要求：柴油增程混动；底盘为三角履带"
"作业参数：载重能力：5T（定位精度±5cm）；装卸效率：30秒/模块；货箱容积：8m³（可装载种子/肥料/农机具）
控制系统参数：5G URLLC通信；
行走系统参数：四三角履带底盘；柴油增程混动系统（续航≥10h）"</t>
  </si>
  <si>
    <t>草博园</t>
  </si>
  <si>
    <t>AI运输机器人：作业参数：载重能力：5T（定位精度±5cm）；装卸效率：30秒/模块；货箱容积：8m³（可装载种子/肥料/农机具）
控制系统参数：5G URLLC通信；
行走系统参数：四三角履带底盘；柴油增程混动系统（续航≥10h）</t>
  </si>
  <si>
    <t>AI碎土机器人（定制）："作业参数：碎土深度：5-25cm；粒径分级：1-10cm（标准差≤1cm）；作业效率：8-10亩/h；
控制系统参数：Velodyne VLP-16激光雷达；三维建模系统；云端协同控制协议；
行走系统参数：铰接式底盘"	"作业要求：板结土破碎率≥75%；残茬粉碎长度≤7cm；单日作业量≥50亩；
控制系统要求：耕深随地形起伏自动补偿；
行走系统要求：垄沟跨越能力≥50cm；湿地防陷能力；连续作业8H"</t>
  </si>
  <si>
    <t>AI整地机器人（定制）："作业参数：平整精度：±5cm；镇压压力：10-80kPa调节；作业速度：4-6km/h；
行走系统参数：混动电驱；采用轻量化碳钢框架（整机≤3T）"	"作业要求：地表平整度达标率≥97%；与播种机协同作业间隔≤15min；
行走系统要求：坡地作业横向稳定性≥25°；最小转弯半径≤2m"</t>
  </si>
  <si>
    <t>AI抛洒机器人："作业参数：料箱容积：400L（固态肥）/400L（种子）；抛洒幅宽：6-15m调节；
行走系统参数：动力采用柴油增程混合动力履带底盘（80kW）"	"作业要求：固态肥破碎率≤1%（粒径3-5mm）；抛洒密度误差≤8%；最大作业效率≥30亩/h；
控制系统要求：与运输机器人自动对接补料；
行走系统要求：跨垄作业能力（垄高≤40cm）"</t>
  </si>
  <si>
    <t>AI多合一机器人："作业参数：旋耕电机转速400-2000rpm可调；耕深10-25可调；播种深度2-12cm，播量0.5-50kg/亩；行距10-40cm可调；施肥量：5-200kg/亩；
控制系统参数：执行机构：伺服电机+电磁阀；
行走系统参数：动力采用柴油增程混合动力履带底盘"	"作业要求：挂载传统旋耕机时，耕深控制误差≤±5cm；与播种机协同作业时，行距误差≤±5cm；
控制系统要求；云端路径规划更新频率≥1次/分钟；
行走系统要求：泥泞地牵引效率≥75%；35°坡地作业侧倾角≤5°"</t>
  </si>
  <si>
    <r>
      <rPr>
        <sz val="12"/>
        <color rgb="FF000000"/>
        <rFont val="宋体"/>
        <charset val="134"/>
      </rPr>
      <t>AI切根施肥机器人："作业参数：切根深度：5-25cm调节；施肥深度：10-25cm（与切根错位5cm）；作业幅宽：1.2m（4行同步）；
控制系统参数：导航定位：RTK-GNSS（±5cm）+IMU惯性导航；"</t>
    </r>
    <r>
      <rPr>
        <sz val="12"/>
        <color rgb="FF000000"/>
        <rFont val="Arial"/>
        <charset val="134"/>
      </rPr>
      <t xml:space="preserve">	</t>
    </r>
    <r>
      <rPr>
        <sz val="12"/>
        <color rgb="FF000000"/>
        <rFont val="宋体"/>
        <charset val="134"/>
      </rPr>
      <t>"作业要求：切根深度误差≤±5cm；液态肥施用量50-200L/亩（误差≤±3%）；切根-施肥同步时间差≤5s；
控制系统要求：作业数据实时上传蒙草平台；
行走系统要求：密植作物（株距≤20cm）通过性"</t>
    </r>
  </si>
  <si>
    <t>AI切根施肥机器人</t>
  </si>
  <si>
    <t>"作业参数：切根深度：5-25cm调节；施肥深度：10-25cm（与切根错位5cm）；作业幅宽：1.2m（4行同步）；
控制系统参数：导航定位：RTK-GNSS（±5cm）+IMU惯性导航；" "作业要求：切根深度误差≤±5cm；液态肥施用量50-200L/亩（误差≤±3%）；切根-施肥同步时间差≤5s；
控制系统要求：作业数据实时上传蒙草平台；
行走系统要求：密植作物（株距≤20cm）通过性"</t>
  </si>
  <si>
    <t>AI喷施机器人："作业参数：药箱容积：400L；
行走系统参数：动力采用柴油增程混合动力履带底盘动力（柴油150HP+电池）"	"作业要求：
行走系统要求：密植作物行间通过性（间隙≥20cm）；水田作业接地比压≤15kPa；最小转弯半径≤2.5m"</t>
  </si>
  <si>
    <t>AI播种机器人："作业参数：播种类型：小粒草种（≤2mm）/生态包种块；播种深度：2-5cm无极调节；行距范围：15-40cm；播种量：0.5-50kg/亩；
控制系统参数：导航系统：北斗+激光SLAM；；
行走系统参数：柴油增程混动（续航≥10h）；悬挂系统：ISO 3点液压快换接口；底盘：履带式"	"作业要求：
控制系统要求；与运输机器人实时通信补种（误差≤5%）；
行走系统要求：坡地播种作业稳定性（侧滑角≤3°）；湿地作业牵引效率≥90%；最小转弯半径≤1.2m（原地转向）"</t>
  </si>
  <si>
    <t>AI种绳种植机器人："作业参数：种绳规格：生物降解带（宽1-4cm）；播种密度：15-60粒/米；铺设速度：0.3-1.2m/s；
行走系统参数：柴油增程混动（续航≥10h）履带式"	"作业要求：埋深控制3-5cm（沙地补偿±1cm）；覆土压实度1.1-1.3g/cm³；种子破损率≤0.3%；
行走系统要求：种子绳快换装置（＜5min）；同步开沟-铺绳-覆土一体化"</t>
  </si>
  <si>
    <t>AI种植块种植机器人："作业参数：种植块规格：Φ4.5-5cm×3-5cm（圆柱体）；种植深度：5-8cm；种植密度：2000-8000块/亩；
控制系统参数：落料系统；定位模块：UWB厘米级定位；
行走系统参数：柴油增程混动（续航≥10h）履带式"	"作业要求：基质块完整率≥70%；覆土厚度3-5cm（镇压后）；株距误差≤±5cm；
行走系统要求：连续作业8h"</t>
  </si>
  <si>
    <t>总计</t>
  </si>
  <si>
    <t>与计划差异</t>
  </si>
  <si>
    <t>增加预算606万</t>
  </si>
  <si>
    <t>上会后新增预算总计784万</t>
  </si>
  <si>
    <t>增加预算61万</t>
  </si>
  <si>
    <t>增加预算43万</t>
  </si>
  <si>
    <t>松土施肥机：德邦大为9ST-480:设备参数：型号9ST一480型，外形尺寸：长2.2m宽3.4m高1.5m；配套动力1004拖拉机，挂接方式：三点悬挂，配套PTO转速540rpm，	作业速度：3∽4Km/h，工作幅宽3.2m，工作行距0.8m，作业行数4，作业效率：15一20亩/h，整机重量1580kg，肥箱：3.5-4立方</t>
  </si>
  <si>
    <t>导致增加预算24万</t>
  </si>
  <si>
    <t>导致增加预算46万</t>
  </si>
  <si>
    <t>增加预算4万</t>
  </si>
  <si>
    <t>马雨浓？</t>
  </si>
  <si>
    <t>AI切根施肥机器人："作业参数：切根深度：5-25cm调节；施肥深度：10-25cm（与切根错位5cm）；作业幅宽：1.2m（4行同步）；
控制系统参数：导航定位：RTK-GNSS（±5cm）+IMU惯性导航；"	"作业要求：切根深度误差≤±5cm；液态肥施用量50-200L/亩（误差≤±3%）；切根-施肥同步时间差≤5s；
控制系统要求：作业数据实时上传蒙草平台；
行走系统要求：密植作物（株距≤20cm）通过性"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</si>
</sst>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  <numFmt numFmtId="178" formatCode="0_ "/>
    <numFmt numFmtId="179" formatCode="0.00_ "/>
  </numFmts>
  <fonts count="38">
    <font>
      <sz val="11"/>
      <name val="宋体"/>
      <charset val="134"/>
    </font>
    <font>
      <sz val="11"/>
      <color rgb="FF000000"/>
      <name val="宋体"/>
      <charset val="134"/>
    </font>
    <font>
      <b/>
      <sz val="18"/>
      <color rgb="FF000000"/>
      <name val="宋体"/>
      <charset val="134"/>
    </font>
    <font>
      <sz val="16"/>
      <color rgb="FF000000"/>
      <name val="宋体"/>
      <charset val="134"/>
    </font>
    <font>
      <b/>
      <sz val="14"/>
      <color rgb="FF000000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b/>
      <sz val="14"/>
      <name val="宋体"/>
      <charset val="134"/>
    </font>
    <font>
      <b/>
      <sz val="16"/>
      <color rgb="FF000000"/>
      <name val="宋体"/>
      <charset val="134"/>
    </font>
    <font>
      <b/>
      <sz val="16"/>
      <name val="宋体"/>
      <charset val="134"/>
    </font>
    <font>
      <sz val="12"/>
      <color rgb="FFFF0000"/>
      <name val="宋体 (正文)"/>
      <charset val="134"/>
    </font>
    <font>
      <sz val="12"/>
      <color rgb="FF000000"/>
      <name val="宋体 (正文)"/>
      <charset val="134"/>
    </font>
    <font>
      <b/>
      <sz val="11"/>
      <color rgb="FF000000"/>
      <name val="宋体"/>
      <charset val="134"/>
    </font>
    <font>
      <sz val="12"/>
      <color rgb="FFFF0000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b/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4" borderId="15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5" borderId="18" applyNumberFormat="0" applyAlignment="0" applyProtection="0">
      <alignment vertical="center"/>
    </xf>
    <xf numFmtId="0" fontId="27" fillId="16" borderId="19" applyNumberFormat="0" applyAlignment="0" applyProtection="0">
      <alignment vertical="center"/>
    </xf>
    <xf numFmtId="0" fontId="28" fillId="16" borderId="18" applyNumberFormat="0" applyAlignment="0" applyProtection="0">
      <alignment vertical="center"/>
    </xf>
    <xf numFmtId="0" fontId="29" fillId="17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5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1" fillId="0" borderId="0">
      <protection locked="0"/>
    </xf>
  </cellStyleXfs>
  <cellXfs count="179">
    <xf numFmtId="0" fontId="0" fillId="0" borderId="0" xfId="0">
      <alignment vertical="center"/>
    </xf>
    <xf numFmtId="176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6" fontId="3" fillId="0" borderId="4" xfId="0" applyNumberFormat="1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176" fontId="5" fillId="4" borderId="4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5" fillId="0" borderId="4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76" fontId="7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76" fontId="6" fillId="5" borderId="4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176" fontId="9" fillId="5" borderId="4" xfId="0" applyNumberFormat="1" applyFont="1" applyFill="1" applyBorder="1" applyAlignment="1">
      <alignment horizontal="center" vertical="center" wrapText="1"/>
    </xf>
    <xf numFmtId="176" fontId="5" fillId="5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176" fontId="6" fillId="8" borderId="4" xfId="0" applyNumberFormat="1" applyFont="1" applyFill="1" applyBorder="1" applyAlignment="1">
      <alignment horizontal="center" vertical="center" wrapText="1"/>
    </xf>
    <xf numFmtId="176" fontId="5" fillId="8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/>
    </xf>
    <xf numFmtId="0" fontId="6" fillId="8" borderId="4" xfId="49" applyFont="1" applyFill="1" applyBorder="1" applyAlignment="1" applyProtection="1">
      <alignment horizontal="center" vertical="center" wrapText="1"/>
    </xf>
    <xf numFmtId="176" fontId="4" fillId="0" borderId="4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>
      <alignment vertical="center"/>
    </xf>
    <xf numFmtId="0" fontId="1" fillId="8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176" fontId="1" fillId="8" borderId="4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76" fontId="6" fillId="0" borderId="4" xfId="0" applyNumberFormat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176" fontId="6" fillId="8" borderId="4" xfId="0" applyNumberFormat="1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4" borderId="4" xfId="0" applyFont="1" applyFill="1" applyBorder="1" applyAlignment="1">
      <alignment horizontal="center" vertical="center" wrapText="1"/>
    </xf>
    <xf numFmtId="176" fontId="6" fillId="4" borderId="4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9" fillId="9" borderId="4" xfId="0" applyNumberFormat="1" applyFont="1" applyFill="1" applyBorder="1" applyAlignment="1">
      <alignment horizontal="center" vertical="center" wrapText="1"/>
    </xf>
    <xf numFmtId="0" fontId="1" fillId="1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11" borderId="0" xfId="0" applyFont="1" applyFill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76" fontId="5" fillId="4" borderId="8" xfId="0" applyNumberFormat="1" applyFont="1" applyFill="1" applyBorder="1" applyAlignment="1">
      <alignment horizontal="center" vertical="center" wrapText="1"/>
    </xf>
    <xf numFmtId="176" fontId="5" fillId="4" borderId="9" xfId="0" applyNumberFormat="1" applyFont="1" applyFill="1" applyBorder="1" applyAlignment="1">
      <alignment horizontal="center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6" fontId="5" fillId="4" borderId="2" xfId="0" applyNumberFormat="1" applyFont="1" applyFill="1" applyBorder="1" applyAlignment="1">
      <alignment horizontal="center" vertical="center" wrapText="1"/>
    </xf>
    <xf numFmtId="176" fontId="5" fillId="4" borderId="3" xfId="0" applyNumberFormat="1" applyFont="1" applyFill="1" applyBorder="1" applyAlignment="1">
      <alignment horizontal="center" vertical="center" wrapText="1"/>
    </xf>
    <xf numFmtId="176" fontId="5" fillId="4" borderId="10" xfId="0" applyNumberFormat="1" applyFont="1" applyFill="1" applyBorder="1" applyAlignment="1">
      <alignment horizontal="center" vertical="center" wrapText="1"/>
    </xf>
    <xf numFmtId="176" fontId="5" fillId="4" borderId="11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176" fontId="5" fillId="10" borderId="4" xfId="0" applyNumberFormat="1" applyFont="1" applyFill="1" applyBorder="1" applyAlignment="1">
      <alignment horizontal="center" vertical="center" wrapText="1"/>
    </xf>
    <xf numFmtId="178" fontId="5" fillId="10" borderId="4" xfId="0" applyNumberFormat="1" applyFont="1" applyFill="1" applyBorder="1" applyAlignment="1">
      <alignment horizontal="left" vertical="center" wrapText="1"/>
    </xf>
    <xf numFmtId="178" fontId="5" fillId="10" borderId="4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176" fontId="6" fillId="10" borderId="4" xfId="0" applyNumberFormat="1" applyFont="1" applyFill="1" applyBorder="1" applyAlignment="1">
      <alignment horizontal="center" vertical="center" wrapText="1"/>
    </xf>
    <xf numFmtId="176" fontId="5" fillId="10" borderId="5" xfId="0" applyNumberFormat="1" applyFont="1" applyFill="1" applyBorder="1" applyAlignment="1">
      <alignment horizontal="center" vertical="center" wrapText="1"/>
    </xf>
    <xf numFmtId="178" fontId="6" fillId="10" borderId="5" xfId="0" applyNumberFormat="1" applyFont="1" applyFill="1" applyBorder="1" applyAlignment="1">
      <alignment horizontal="left" vertical="center" wrapText="1"/>
    </xf>
    <xf numFmtId="178" fontId="6" fillId="10" borderId="5" xfId="0" applyNumberFormat="1" applyFont="1" applyFill="1" applyBorder="1" applyAlignment="1">
      <alignment horizontal="center" vertical="center" wrapText="1"/>
    </xf>
    <xf numFmtId="176" fontId="5" fillId="10" borderId="6" xfId="0" applyNumberFormat="1" applyFont="1" applyFill="1" applyBorder="1" applyAlignment="1">
      <alignment horizontal="center" vertical="center" wrapText="1"/>
    </xf>
    <xf numFmtId="178" fontId="6" fillId="10" borderId="6" xfId="0" applyNumberFormat="1" applyFont="1" applyFill="1" applyBorder="1" applyAlignment="1">
      <alignment horizontal="left" vertical="center" wrapText="1"/>
    </xf>
    <xf numFmtId="178" fontId="6" fillId="10" borderId="6" xfId="0" applyNumberFormat="1" applyFont="1" applyFill="1" applyBorder="1" applyAlignment="1">
      <alignment horizontal="center" vertical="center" wrapText="1"/>
    </xf>
    <xf numFmtId="176" fontId="5" fillId="10" borderId="7" xfId="0" applyNumberFormat="1" applyFont="1" applyFill="1" applyBorder="1" applyAlignment="1">
      <alignment horizontal="center" vertical="center" wrapText="1"/>
    </xf>
    <xf numFmtId="178" fontId="6" fillId="10" borderId="7" xfId="0" applyNumberFormat="1" applyFont="1" applyFill="1" applyBorder="1" applyAlignment="1">
      <alignment horizontal="left" vertical="center" wrapText="1"/>
    </xf>
    <xf numFmtId="178" fontId="6" fillId="10" borderId="7" xfId="0" applyNumberFormat="1" applyFont="1" applyFill="1" applyBorder="1" applyAlignment="1">
      <alignment horizontal="center" vertical="center" wrapText="1"/>
    </xf>
    <xf numFmtId="0" fontId="6" fillId="10" borderId="4" xfId="49" applyFont="1" applyFill="1" applyBorder="1" applyAlignment="1" applyProtection="1">
      <alignment horizontal="center" vertical="center" wrapText="1"/>
    </xf>
    <xf numFmtId="178" fontId="6" fillId="10" borderId="12" xfId="0" applyNumberFormat="1" applyFont="1" applyFill="1" applyBorder="1" applyAlignment="1">
      <alignment horizontal="left" vertical="center" wrapText="1"/>
    </xf>
    <xf numFmtId="178" fontId="6" fillId="10" borderId="12" xfId="0" applyNumberFormat="1" applyFont="1" applyFill="1" applyBorder="1" applyAlignment="1">
      <alignment horizontal="center" vertical="center" wrapText="1"/>
    </xf>
    <xf numFmtId="178" fontId="6" fillId="10" borderId="4" xfId="0" applyNumberFormat="1" applyFont="1" applyFill="1" applyBorder="1" applyAlignment="1">
      <alignment horizontal="left" vertical="center" wrapText="1"/>
    </xf>
    <xf numFmtId="178" fontId="6" fillId="10" borderId="4" xfId="0" applyNumberFormat="1" applyFont="1" applyFill="1" applyBorder="1" applyAlignment="1">
      <alignment horizontal="center" vertical="center" wrapText="1"/>
    </xf>
    <xf numFmtId="178" fontId="7" fillId="0" borderId="4" xfId="0" applyNumberFormat="1" applyFont="1" applyFill="1" applyBorder="1" applyAlignment="1">
      <alignment horizontal="center" vertical="center" wrapText="1"/>
    </xf>
    <xf numFmtId="178" fontId="5" fillId="4" borderId="4" xfId="0" applyNumberFormat="1" applyFont="1" applyFill="1" applyBorder="1" applyAlignment="1">
      <alignment horizontal="center" vertical="center" wrapText="1"/>
    </xf>
    <xf numFmtId="178" fontId="4" fillId="0" borderId="4" xfId="0" applyNumberFormat="1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center" vertical="center" wrapText="1"/>
    </xf>
    <xf numFmtId="178" fontId="5" fillId="10" borderId="12" xfId="0" applyNumberFormat="1" applyFont="1" applyFill="1" applyBorder="1" applyAlignment="1">
      <alignment vertical="center" wrapText="1"/>
    </xf>
    <xf numFmtId="0" fontId="6" fillId="10" borderId="7" xfId="0" applyFont="1" applyFill="1" applyBorder="1" applyAlignment="1">
      <alignment horizontal="center" vertical="center" wrapText="1"/>
    </xf>
    <xf numFmtId="178" fontId="5" fillId="10" borderId="7" xfId="0" applyNumberFormat="1" applyFont="1" applyFill="1" applyBorder="1" applyAlignment="1">
      <alignment vertical="center" wrapText="1"/>
    </xf>
    <xf numFmtId="178" fontId="13" fillId="10" borderId="4" xfId="0" applyNumberFormat="1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center" vertical="center" wrapText="1"/>
    </xf>
    <xf numFmtId="176" fontId="5" fillId="12" borderId="4" xfId="0" applyNumberFormat="1" applyFont="1" applyFill="1" applyBorder="1" applyAlignment="1">
      <alignment horizontal="center" vertical="center" wrapText="1"/>
    </xf>
    <xf numFmtId="178" fontId="5" fillId="12" borderId="4" xfId="0" applyNumberFormat="1" applyFont="1" applyFill="1" applyBorder="1" applyAlignment="1">
      <alignment horizontal="center" vertical="center" wrapText="1"/>
    </xf>
    <xf numFmtId="0" fontId="6" fillId="12" borderId="4" xfId="0" applyFont="1" applyFill="1" applyBorder="1" applyAlignment="1">
      <alignment horizontal="center" vertical="center" wrapText="1"/>
    </xf>
    <xf numFmtId="176" fontId="6" fillId="12" borderId="4" xfId="0" applyNumberFormat="1" applyFont="1" applyFill="1" applyBorder="1" applyAlignment="1">
      <alignment horizontal="center" vertical="center" wrapText="1"/>
    </xf>
    <xf numFmtId="178" fontId="6" fillId="12" borderId="4" xfId="0" applyNumberFormat="1" applyFont="1" applyFill="1" applyBorder="1" applyAlignment="1">
      <alignment horizontal="center" vertical="center" wrapText="1"/>
    </xf>
    <xf numFmtId="176" fontId="14" fillId="5" borderId="4" xfId="0" applyNumberFormat="1" applyFont="1" applyFill="1" applyBorder="1" applyAlignment="1">
      <alignment horizontal="center" vertical="center" wrapText="1"/>
    </xf>
    <xf numFmtId="176" fontId="5" fillId="4" borderId="13" xfId="0" applyNumberFormat="1" applyFont="1" applyFill="1" applyBorder="1" applyAlignment="1">
      <alignment horizontal="center" vertical="center" wrapText="1"/>
    </xf>
    <xf numFmtId="179" fontId="5" fillId="10" borderId="4" xfId="0" applyNumberFormat="1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/>
    </xf>
    <xf numFmtId="179" fontId="5" fillId="10" borderId="5" xfId="0" applyNumberFormat="1" applyFont="1" applyFill="1" applyBorder="1" applyAlignment="1">
      <alignment horizontal="center" vertical="center" wrapText="1"/>
    </xf>
    <xf numFmtId="179" fontId="5" fillId="10" borderId="6" xfId="0" applyNumberFormat="1" applyFont="1" applyFill="1" applyBorder="1" applyAlignment="1">
      <alignment horizontal="center" vertical="center" wrapText="1"/>
    </xf>
    <xf numFmtId="179" fontId="5" fillId="10" borderId="7" xfId="0" applyNumberFormat="1" applyFont="1" applyFill="1" applyBorder="1" applyAlignment="1">
      <alignment horizontal="center" vertical="center" wrapText="1"/>
    </xf>
    <xf numFmtId="179" fontId="7" fillId="0" borderId="4" xfId="0" applyNumberFormat="1" applyFont="1" applyFill="1" applyBorder="1" applyAlignment="1">
      <alignment horizontal="center" vertical="center" wrapText="1"/>
    </xf>
    <xf numFmtId="179" fontId="14" fillId="0" borderId="4" xfId="0" applyNumberFormat="1" applyFont="1" applyFill="1" applyBorder="1" applyAlignment="1">
      <alignment horizontal="center" vertical="center" wrapText="1"/>
    </xf>
    <xf numFmtId="176" fontId="14" fillId="0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>
      <alignment vertical="center"/>
    </xf>
    <xf numFmtId="179" fontId="5" fillId="4" borderId="4" xfId="0" applyNumberFormat="1" applyFont="1" applyFill="1" applyBorder="1" applyAlignment="1">
      <alignment horizontal="center" vertical="center" wrapText="1"/>
    </xf>
    <xf numFmtId="179" fontId="6" fillId="10" borderId="4" xfId="0" applyNumberFormat="1" applyFont="1" applyFill="1" applyBorder="1" applyAlignment="1">
      <alignment horizontal="center" vertical="center" wrapText="1"/>
    </xf>
    <xf numFmtId="179" fontId="4" fillId="0" borderId="4" xfId="0" applyNumberFormat="1" applyFont="1" applyFill="1" applyBorder="1" applyAlignment="1">
      <alignment horizontal="center" vertical="center" wrapText="1"/>
    </xf>
    <xf numFmtId="179" fontId="15" fillId="0" borderId="4" xfId="0" applyNumberFormat="1" applyFont="1" applyFill="1" applyBorder="1" applyAlignment="1">
      <alignment horizontal="center" vertical="center" wrapText="1"/>
    </xf>
    <xf numFmtId="176" fontId="15" fillId="0" borderId="4" xfId="0" applyNumberFormat="1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center" vertical="center" wrapText="1"/>
    </xf>
    <xf numFmtId="179" fontId="6" fillId="10" borderId="5" xfId="0" applyNumberFormat="1" applyFont="1" applyFill="1" applyBorder="1" applyAlignment="1">
      <alignment horizontal="center" vertical="center" wrapText="1"/>
    </xf>
    <xf numFmtId="179" fontId="6" fillId="10" borderId="7" xfId="0" applyNumberFormat="1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" fillId="10" borderId="4" xfId="0" applyFont="1" applyFill="1" applyBorder="1">
      <alignment vertical="center"/>
    </xf>
    <xf numFmtId="179" fontId="5" fillId="12" borderId="4" xfId="0" applyNumberFormat="1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/>
    </xf>
    <xf numFmtId="179" fontId="6" fillId="12" borderId="4" xfId="0" applyNumberFormat="1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/>
    </xf>
    <xf numFmtId="176" fontId="1" fillId="10" borderId="4" xfId="0" applyNumberFormat="1" applyFont="1" applyFill="1" applyBorder="1" applyAlignment="1">
      <alignment horizontal="center" vertical="center"/>
    </xf>
    <xf numFmtId="178" fontId="1" fillId="10" borderId="4" xfId="0" applyNumberFormat="1" applyFont="1" applyFill="1" applyBorder="1" applyAlignment="1">
      <alignment horizontal="left" vertical="center"/>
    </xf>
    <xf numFmtId="178" fontId="1" fillId="10" borderId="4" xfId="0" applyNumberFormat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176" fontId="6" fillId="10" borderId="4" xfId="0" applyNumberFormat="1" applyFont="1" applyFill="1" applyBorder="1" applyAlignment="1">
      <alignment horizontal="center" vertical="center"/>
    </xf>
    <xf numFmtId="178" fontId="6" fillId="10" borderId="4" xfId="0" applyNumberFormat="1" applyFont="1" applyFill="1" applyBorder="1" applyAlignment="1">
      <alignment horizontal="center" vertical="center"/>
    </xf>
    <xf numFmtId="178" fontId="13" fillId="10" borderId="4" xfId="0" applyNumberFormat="1" applyFont="1" applyFill="1" applyBorder="1" applyAlignment="1">
      <alignment horizontal="center" vertical="center"/>
    </xf>
    <xf numFmtId="178" fontId="6" fillId="4" borderId="4" xfId="0" applyNumberFormat="1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176" fontId="1" fillId="12" borderId="4" xfId="0" applyNumberFormat="1" applyFont="1" applyFill="1" applyBorder="1" applyAlignment="1">
      <alignment horizontal="center" vertical="center"/>
    </xf>
    <xf numFmtId="176" fontId="6" fillId="12" borderId="5" xfId="0" applyNumberFormat="1" applyFont="1" applyFill="1" applyBorder="1" applyAlignment="1">
      <alignment horizontal="center" vertical="center" wrapText="1"/>
    </xf>
    <xf numFmtId="178" fontId="1" fillId="12" borderId="5" xfId="0" applyNumberFormat="1" applyFont="1" applyFill="1" applyBorder="1" applyAlignment="1">
      <alignment horizontal="center" vertical="center"/>
    </xf>
    <xf numFmtId="178" fontId="1" fillId="12" borderId="4" xfId="0" applyNumberFormat="1" applyFont="1" applyFill="1" applyBorder="1" applyAlignment="1">
      <alignment horizontal="center" vertical="center"/>
    </xf>
    <xf numFmtId="178" fontId="6" fillId="12" borderId="5" xfId="0" applyNumberFormat="1" applyFont="1" applyFill="1" applyBorder="1" applyAlignment="1">
      <alignment horizontal="center" vertical="center" wrapText="1"/>
    </xf>
    <xf numFmtId="176" fontId="6" fillId="10" borderId="5" xfId="0" applyNumberFormat="1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 wrapText="1"/>
    </xf>
    <xf numFmtId="176" fontId="9" fillId="13" borderId="0" xfId="0" applyNumberFormat="1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/>
    </xf>
    <xf numFmtId="179" fontId="1" fillId="10" borderId="4" xfId="0" applyNumberFormat="1" applyFont="1" applyFill="1" applyBorder="1" applyAlignment="1">
      <alignment horizontal="center" vertical="center"/>
    </xf>
    <xf numFmtId="179" fontId="6" fillId="10" borderId="4" xfId="0" applyNumberFormat="1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wrapText="1"/>
    </xf>
    <xf numFmtId="179" fontId="6" fillId="4" borderId="4" xfId="0" applyNumberFormat="1" applyFont="1" applyFill="1" applyBorder="1" applyAlignment="1">
      <alignment horizontal="center" vertical="center" wrapText="1"/>
    </xf>
    <xf numFmtId="179" fontId="1" fillId="12" borderId="4" xfId="0" applyNumberFormat="1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179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6" fillId="0" borderId="5" xfId="0" applyFont="1" applyFill="1" applyBorder="1">
      <alignment vertical="center"/>
    </xf>
    <xf numFmtId="179" fontId="5" fillId="5" borderId="4" xfId="0" applyNumberFormat="1" applyFont="1" applyFill="1" applyBorder="1" applyAlignment="1">
      <alignment horizontal="center" vertical="center" wrapText="1"/>
    </xf>
    <xf numFmtId="179" fontId="16" fillId="5" borderId="4" xfId="0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179" fontId="2" fillId="13" borderId="14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4874CB"/>
        </top>
        <bottom/>
      </border>
    </dxf>
    <dxf>
      <font>
        <b val="1"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 val="1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 val="1"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</dxfs>
  <tableStyles count="2" defaultTableStyle="TableStylePreset3_Accent1 1" defaultPivotStyle="PivotStylePreset2_Accent1 1">
    <tableStyle name="TableStylePreset3_Accent1 1" pivot="0" count="7" xr9:uid="{558A0389-5DE3-4798-895F-969A2A89413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79CFB8E9-5689-4571-B1EA-40D74A7D7C83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9"/>
  <sheetViews>
    <sheetView tabSelected="1" topLeftCell="G1" workbookViewId="0">
      <selection activeCell="L188" sqref="L188"/>
    </sheetView>
  </sheetViews>
  <sheetFormatPr defaultColWidth="11" defaultRowHeight="14.1"/>
  <cols>
    <col min="1" max="1" width="7.21621621621622" customWidth="1"/>
    <col min="2" max="2" width="43.7477477477477" hidden="1" customWidth="1"/>
    <col min="3" max="4" width="23.3783783783784" hidden="1" customWidth="1"/>
    <col min="5" max="5" width="23.3783783783784" style="1" hidden="1" customWidth="1"/>
    <col min="6" max="6" width="56.5855855855856" style="1" customWidth="1"/>
    <col min="7" max="7" width="80.954954954955" style="2" customWidth="1"/>
    <col min="8" max="11" width="23.3783783783784" style="2" customWidth="1"/>
    <col min="12" max="12" width="26.8198198198198" style="2" customWidth="1"/>
    <col min="13" max="13" width="23.3783783783784" customWidth="1"/>
    <col min="14" max="14" width="33.3873873873874" customWidth="1"/>
  </cols>
  <sheetData>
    <row r="1" ht="32.85" customHeight="1" spans="1:1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 t="s">
        <v>1</v>
      </c>
      <c r="N1" s="6">
        <v>5224.85</v>
      </c>
    </row>
    <row r="2" customFormat="1" ht="18.3" customHeight="1" spans="1:14">
      <c r="A2" s="7" t="s">
        <v>2</v>
      </c>
      <c r="B2" s="7"/>
      <c r="C2" s="7"/>
      <c r="D2" s="7"/>
      <c r="E2" s="8"/>
      <c r="F2" s="8"/>
      <c r="G2" s="9"/>
      <c r="H2" s="9"/>
      <c r="I2" s="9"/>
      <c r="J2" s="9"/>
      <c r="K2" s="9"/>
      <c r="L2" s="9"/>
      <c r="M2" s="7"/>
      <c r="N2" s="7"/>
    </row>
    <row r="3" customFormat="1" ht="18.3" hidden="1" customHeight="1" spans="1:14">
      <c r="A3" s="10" t="s">
        <v>3</v>
      </c>
      <c r="B3" s="11" t="s">
        <v>4</v>
      </c>
      <c r="C3" s="11" t="s">
        <v>5</v>
      </c>
      <c r="D3" s="12" t="s">
        <v>6</v>
      </c>
      <c r="E3" s="12" t="s">
        <v>7</v>
      </c>
      <c r="F3" s="12"/>
      <c r="G3" s="11"/>
      <c r="H3" s="11"/>
      <c r="I3" s="11"/>
      <c r="J3" s="11"/>
      <c r="K3" s="11"/>
      <c r="L3" s="11" t="s">
        <v>8</v>
      </c>
      <c r="M3" s="11" t="s">
        <v>9</v>
      </c>
      <c r="N3" s="11" t="s">
        <v>10</v>
      </c>
    </row>
    <row r="4" customFormat="1" ht="29.65" hidden="1" customHeight="1" spans="1:14">
      <c r="A4" s="13" t="s">
        <v>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customFormat="1" ht="18.3" hidden="1" customHeight="1" spans="1:14">
      <c r="A5" s="16" t="s">
        <v>12</v>
      </c>
      <c r="B5" s="16" t="s">
        <v>13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customFormat="1" ht="18.3" hidden="1" customHeight="1" spans="1:14">
      <c r="A6" s="18">
        <v>1</v>
      </c>
      <c r="B6" s="19" t="s">
        <v>14</v>
      </c>
      <c r="C6" s="19">
        <v>1</v>
      </c>
      <c r="D6" s="20">
        <v>7.5</v>
      </c>
      <c r="E6" s="20">
        <f t="shared" ref="E6:E17" si="0">D6*C6</f>
        <v>7.5</v>
      </c>
      <c r="F6" s="20"/>
      <c r="G6" s="19"/>
      <c r="H6" s="19"/>
      <c r="I6" s="19"/>
      <c r="J6" s="19"/>
      <c r="K6" s="19"/>
      <c r="L6" s="19" t="s">
        <v>15</v>
      </c>
      <c r="M6" s="19" t="s">
        <v>16</v>
      </c>
      <c r="N6" s="21" t="s">
        <v>17</v>
      </c>
    </row>
    <row r="7" customFormat="1" ht="31.5" hidden="1" customHeight="1" spans="1:14">
      <c r="A7" s="18">
        <v>2</v>
      </c>
      <c r="B7" s="19" t="s">
        <v>18</v>
      </c>
      <c r="C7" s="19">
        <v>1</v>
      </c>
      <c r="D7" s="20">
        <v>29.6</v>
      </c>
      <c r="E7" s="20">
        <f t="shared" si="0"/>
        <v>29.6</v>
      </c>
      <c r="F7" s="20"/>
      <c r="G7" s="19"/>
      <c r="H7" s="19"/>
      <c r="I7" s="19"/>
      <c r="J7" s="19"/>
      <c r="K7" s="19"/>
      <c r="L7" s="19" t="s">
        <v>19</v>
      </c>
      <c r="M7" s="19" t="s">
        <v>20</v>
      </c>
      <c r="N7" s="22"/>
    </row>
    <row r="8" customFormat="1" ht="28.5" hidden="1" customHeight="1" spans="1:14">
      <c r="A8" s="18">
        <v>3</v>
      </c>
      <c r="B8" s="19" t="s">
        <v>21</v>
      </c>
      <c r="C8" s="19">
        <v>2</v>
      </c>
      <c r="D8" s="20">
        <v>29.3</v>
      </c>
      <c r="E8" s="20">
        <f t="shared" si="0"/>
        <v>58.6</v>
      </c>
      <c r="F8" s="20"/>
      <c r="G8" s="19"/>
      <c r="H8" s="19"/>
      <c r="I8" s="19"/>
      <c r="J8" s="19"/>
      <c r="K8" s="19"/>
      <c r="L8" s="19" t="s">
        <v>22</v>
      </c>
      <c r="M8" s="19" t="s">
        <v>22</v>
      </c>
      <c r="N8" s="22"/>
    </row>
    <row r="9" customFormat="1" ht="18.3" hidden="1" customHeight="1" spans="1:14">
      <c r="A9" s="18">
        <v>4</v>
      </c>
      <c r="B9" s="19" t="s">
        <v>23</v>
      </c>
      <c r="C9" s="19">
        <v>2</v>
      </c>
      <c r="D9" s="20">
        <v>111</v>
      </c>
      <c r="E9" s="20">
        <f t="shared" si="0"/>
        <v>222</v>
      </c>
      <c r="F9" s="20"/>
      <c r="G9" s="19"/>
      <c r="H9" s="19"/>
      <c r="I9" s="19"/>
      <c r="J9" s="19"/>
      <c r="K9" s="19"/>
      <c r="L9" s="19" t="s">
        <v>22</v>
      </c>
      <c r="M9" s="19" t="s">
        <v>22</v>
      </c>
      <c r="N9" s="22"/>
    </row>
    <row r="10" customFormat="1" ht="18.3" hidden="1" customHeight="1" spans="1:14">
      <c r="A10" s="18">
        <v>5</v>
      </c>
      <c r="B10" s="19" t="s">
        <v>24</v>
      </c>
      <c r="C10" s="19">
        <v>1</v>
      </c>
      <c r="D10" s="20">
        <v>118</v>
      </c>
      <c r="E10" s="20">
        <f t="shared" si="0"/>
        <v>118</v>
      </c>
      <c r="F10" s="20"/>
      <c r="G10" s="19"/>
      <c r="H10" s="19"/>
      <c r="I10" s="19"/>
      <c r="J10" s="19"/>
      <c r="K10" s="19"/>
      <c r="L10" s="19" t="s">
        <v>22</v>
      </c>
      <c r="M10" s="19" t="s">
        <v>22</v>
      </c>
      <c r="N10" s="22"/>
    </row>
    <row r="11" customFormat="1" ht="18.3" hidden="1" customHeight="1" spans="1:14">
      <c r="A11" s="18">
        <v>6</v>
      </c>
      <c r="B11" s="19" t="s">
        <v>25</v>
      </c>
      <c r="C11" s="19">
        <v>1</v>
      </c>
      <c r="D11" s="20">
        <v>129.8</v>
      </c>
      <c r="E11" s="20">
        <f t="shared" si="0"/>
        <v>129.8</v>
      </c>
      <c r="F11" s="20"/>
      <c r="G11" s="23"/>
      <c r="H11" s="23"/>
      <c r="I11" s="23"/>
      <c r="J11" s="23"/>
      <c r="K11" s="23"/>
      <c r="L11" s="23"/>
      <c r="M11" s="23"/>
      <c r="N11" s="22"/>
    </row>
    <row r="12" customFormat="1" ht="18.3" hidden="1" customHeight="1" spans="1:14">
      <c r="A12" s="18">
        <v>7</v>
      </c>
      <c r="B12" s="18" t="s">
        <v>26</v>
      </c>
      <c r="C12" s="24">
        <v>1</v>
      </c>
      <c r="D12" s="23">
        <v>9.3</v>
      </c>
      <c r="E12" s="20">
        <f t="shared" si="0"/>
        <v>9.3</v>
      </c>
      <c r="F12" s="20"/>
      <c r="G12" s="19"/>
      <c r="H12" s="19"/>
      <c r="I12" s="19"/>
      <c r="J12" s="19"/>
      <c r="K12" s="19"/>
      <c r="L12" s="19" t="s">
        <v>27</v>
      </c>
      <c r="M12" s="19" t="s">
        <v>28</v>
      </c>
      <c r="N12" s="21" t="s">
        <v>29</v>
      </c>
    </row>
    <row r="13" customFormat="1" ht="18.3" hidden="1" customHeight="1" spans="1:14">
      <c r="A13" s="18">
        <v>8</v>
      </c>
      <c r="B13" s="18" t="s">
        <v>30</v>
      </c>
      <c r="C13" s="24">
        <v>2</v>
      </c>
      <c r="D13" s="23">
        <v>3.38</v>
      </c>
      <c r="E13" s="20">
        <f t="shared" si="0"/>
        <v>6.76</v>
      </c>
      <c r="F13" s="20"/>
      <c r="G13" s="19"/>
      <c r="H13" s="19"/>
      <c r="I13" s="19"/>
      <c r="J13" s="19"/>
      <c r="K13" s="19"/>
      <c r="L13" s="19"/>
      <c r="M13" s="19" t="s">
        <v>20</v>
      </c>
      <c r="N13" s="22"/>
    </row>
    <row r="14" customFormat="1" ht="18.3" hidden="1" customHeight="1" spans="1:14">
      <c r="A14" s="18">
        <v>9</v>
      </c>
      <c r="B14" s="18" t="s">
        <v>31</v>
      </c>
      <c r="C14" s="24">
        <v>10</v>
      </c>
      <c r="D14" s="23">
        <v>3.6</v>
      </c>
      <c r="E14" s="20">
        <f t="shared" si="0"/>
        <v>36</v>
      </c>
      <c r="F14" s="20"/>
      <c r="G14" s="19"/>
      <c r="H14" s="19"/>
      <c r="I14" s="19"/>
      <c r="J14" s="19"/>
      <c r="K14" s="19"/>
      <c r="L14" s="19" t="s">
        <v>32</v>
      </c>
      <c r="M14" s="19" t="s">
        <v>20</v>
      </c>
      <c r="N14" s="22"/>
    </row>
    <row r="15" customFormat="1" ht="18.3" hidden="1" customHeight="1" spans="1:14">
      <c r="A15" s="18">
        <v>10</v>
      </c>
      <c r="B15" s="18" t="s">
        <v>33</v>
      </c>
      <c r="C15" s="24">
        <v>10</v>
      </c>
      <c r="D15" s="23">
        <v>4.4</v>
      </c>
      <c r="E15" s="20">
        <f t="shared" si="0"/>
        <v>44</v>
      </c>
      <c r="F15" s="20"/>
      <c r="G15" s="19"/>
      <c r="H15" s="19"/>
      <c r="I15" s="19"/>
      <c r="J15" s="19"/>
      <c r="K15" s="19"/>
      <c r="L15" s="19" t="s">
        <v>32</v>
      </c>
      <c r="M15" s="19" t="s">
        <v>20</v>
      </c>
      <c r="N15" s="22"/>
    </row>
    <row r="16" customFormat="1" ht="18.3" hidden="1" customHeight="1" spans="1:14">
      <c r="A16" s="18">
        <v>11</v>
      </c>
      <c r="B16" s="18" t="s">
        <v>34</v>
      </c>
      <c r="C16" s="24">
        <v>1</v>
      </c>
      <c r="D16" s="23">
        <v>3.4</v>
      </c>
      <c r="E16" s="20">
        <f t="shared" si="0"/>
        <v>3.4</v>
      </c>
      <c r="F16" s="20"/>
      <c r="G16" s="19"/>
      <c r="H16" s="19"/>
      <c r="I16" s="19"/>
      <c r="J16" s="19"/>
      <c r="K16" s="19"/>
      <c r="L16" s="19" t="s">
        <v>35</v>
      </c>
      <c r="M16" s="19" t="s">
        <v>36</v>
      </c>
      <c r="N16" s="22"/>
    </row>
    <row r="17" customFormat="1" ht="18.3" hidden="1" customHeight="1" spans="1:14">
      <c r="A17" s="18">
        <v>12</v>
      </c>
      <c r="B17" s="18" t="s">
        <v>37</v>
      </c>
      <c r="C17" s="24">
        <v>2</v>
      </c>
      <c r="D17" s="23">
        <v>1.7</v>
      </c>
      <c r="E17" s="20">
        <f t="shared" si="0"/>
        <v>3.4</v>
      </c>
      <c r="F17" s="20"/>
      <c r="G17" s="19"/>
      <c r="H17" s="19"/>
      <c r="I17" s="19"/>
      <c r="J17" s="19"/>
      <c r="K17" s="19"/>
      <c r="L17" s="19" t="s">
        <v>19</v>
      </c>
      <c r="M17" s="19" t="s">
        <v>20</v>
      </c>
      <c r="N17" s="22"/>
    </row>
    <row r="18" customFormat="1" ht="18.3" hidden="1" customHeight="1" spans="1:14">
      <c r="A18" s="18"/>
      <c r="B18" s="25" t="s">
        <v>38</v>
      </c>
      <c r="C18" s="26">
        <f>SUM(C6:C17)</f>
        <v>34</v>
      </c>
      <c r="D18" s="26"/>
      <c r="E18" s="27">
        <f>SUM(E6:E17)</f>
        <v>668.36</v>
      </c>
      <c r="F18" s="27"/>
      <c r="G18" s="23"/>
      <c r="H18" s="23"/>
      <c r="I18" s="23"/>
      <c r="J18" s="23"/>
      <c r="K18" s="23"/>
      <c r="L18" s="23"/>
      <c r="M18" s="23"/>
      <c r="N18" s="28"/>
    </row>
    <row r="19" customFormat="1" ht="18.3" hidden="1" customHeight="1" spans="1:14">
      <c r="A19" s="16" t="s">
        <v>39</v>
      </c>
      <c r="B19" s="16" t="s">
        <v>40</v>
      </c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customFormat="1" ht="18.3" hidden="1" customHeight="1" spans="1:14">
      <c r="A20" s="18">
        <v>13</v>
      </c>
      <c r="B20" s="19" t="s">
        <v>41</v>
      </c>
      <c r="C20" s="19">
        <v>1</v>
      </c>
      <c r="D20" s="20">
        <v>2.98</v>
      </c>
      <c r="E20" s="20">
        <f t="shared" ref="E20:E24" si="1">D20*C20</f>
        <v>2.98</v>
      </c>
      <c r="F20" s="20"/>
      <c r="G20" s="29"/>
      <c r="H20" s="29"/>
      <c r="I20" s="29"/>
      <c r="J20" s="29"/>
      <c r="K20" s="29"/>
      <c r="L20" s="29" t="s">
        <v>42</v>
      </c>
      <c r="M20" s="29" t="s">
        <v>43</v>
      </c>
      <c r="N20" s="21" t="s">
        <v>17</v>
      </c>
    </row>
    <row r="21" customFormat="1" ht="18.3" hidden="1" customHeight="1" spans="1:14">
      <c r="A21" s="18">
        <v>14</v>
      </c>
      <c r="B21" s="19" t="s">
        <v>44</v>
      </c>
      <c r="C21" s="19">
        <v>3</v>
      </c>
      <c r="D21" s="20">
        <v>2.6243</v>
      </c>
      <c r="E21" s="20">
        <f t="shared" si="1"/>
        <v>7.8729</v>
      </c>
      <c r="F21" s="20"/>
      <c r="G21" s="29"/>
      <c r="H21" s="29"/>
      <c r="I21" s="29"/>
      <c r="J21" s="29"/>
      <c r="K21" s="29"/>
      <c r="L21" s="29" t="s">
        <v>45</v>
      </c>
      <c r="M21" s="29" t="s">
        <v>46</v>
      </c>
      <c r="N21" s="22"/>
    </row>
    <row r="22" customFormat="1" ht="18.3" hidden="1" customHeight="1" spans="1:14">
      <c r="A22" s="18">
        <v>15</v>
      </c>
      <c r="B22" s="19" t="s">
        <v>47</v>
      </c>
      <c r="C22" s="19">
        <v>1</v>
      </c>
      <c r="D22" s="20">
        <v>2.6</v>
      </c>
      <c r="E22" s="20">
        <f t="shared" si="1"/>
        <v>2.6</v>
      </c>
      <c r="F22" s="20"/>
      <c r="G22" s="29"/>
      <c r="H22" s="29"/>
      <c r="I22" s="29"/>
      <c r="J22" s="29"/>
      <c r="K22" s="29"/>
      <c r="L22" s="29" t="s">
        <v>45</v>
      </c>
      <c r="M22" s="29" t="s">
        <v>46</v>
      </c>
      <c r="N22" s="22"/>
    </row>
    <row r="23" customFormat="1" ht="18.3" hidden="1" customHeight="1" spans="1:14">
      <c r="A23" s="18">
        <v>16</v>
      </c>
      <c r="B23" s="19" t="s">
        <v>48</v>
      </c>
      <c r="C23" s="19">
        <v>3</v>
      </c>
      <c r="D23" s="20">
        <v>1.1</v>
      </c>
      <c r="E23" s="20">
        <f t="shared" si="1"/>
        <v>3.3</v>
      </c>
      <c r="F23" s="20"/>
      <c r="G23" s="29"/>
      <c r="H23" s="29"/>
      <c r="I23" s="29"/>
      <c r="J23" s="29"/>
      <c r="K23" s="29"/>
      <c r="L23" s="29" t="s">
        <v>45</v>
      </c>
      <c r="M23" s="29" t="s">
        <v>46</v>
      </c>
      <c r="N23" s="22"/>
    </row>
    <row r="24" customFormat="1" ht="18.3" hidden="1" customHeight="1" spans="1:14">
      <c r="A24" s="18">
        <v>17</v>
      </c>
      <c r="B24" s="19" t="s">
        <v>49</v>
      </c>
      <c r="C24" s="19">
        <v>3</v>
      </c>
      <c r="D24" s="20">
        <v>1.2</v>
      </c>
      <c r="E24" s="20">
        <f t="shared" si="1"/>
        <v>3.6</v>
      </c>
      <c r="F24" s="20"/>
      <c r="G24" s="30"/>
      <c r="H24" s="30"/>
      <c r="I24" s="30"/>
      <c r="J24" s="30"/>
      <c r="K24" s="30"/>
      <c r="L24" s="30" t="s">
        <v>50</v>
      </c>
      <c r="M24" s="30" t="s">
        <v>43</v>
      </c>
      <c r="N24" s="22"/>
    </row>
    <row r="25" customFormat="1" ht="18.3" hidden="1" customHeight="1" spans="1:14">
      <c r="A25" s="18">
        <v>18</v>
      </c>
      <c r="B25" s="31" t="s">
        <v>51</v>
      </c>
      <c r="C25" s="31">
        <v>1</v>
      </c>
      <c r="D25" s="32" t="s">
        <v>52</v>
      </c>
      <c r="E25" s="32">
        <f>SUM(E26:E33)</f>
        <v>43.19</v>
      </c>
      <c r="F25" s="32"/>
      <c r="G25" s="19"/>
      <c r="H25" s="19"/>
      <c r="I25" s="19"/>
      <c r="J25" s="19"/>
      <c r="K25" s="19"/>
      <c r="L25" s="19"/>
      <c r="M25" s="19" t="s">
        <v>53</v>
      </c>
      <c r="N25" s="22"/>
    </row>
    <row r="26" customFormat="1" ht="18.3" hidden="1" customHeight="1" spans="1:14">
      <c r="A26" s="18"/>
      <c r="B26" s="19" t="s">
        <v>54</v>
      </c>
      <c r="C26" s="19">
        <v>1</v>
      </c>
      <c r="D26" s="20">
        <v>40</v>
      </c>
      <c r="E26" s="32">
        <f t="shared" ref="E26:E33" si="2">D26*C26</f>
        <v>40</v>
      </c>
      <c r="F26" s="32"/>
      <c r="G26" s="19"/>
      <c r="H26" s="19"/>
      <c r="I26" s="19"/>
      <c r="J26" s="19"/>
      <c r="K26" s="19"/>
      <c r="L26" s="19"/>
      <c r="M26" s="19"/>
      <c r="N26" s="22"/>
    </row>
    <row r="27" customFormat="1" ht="18.3" hidden="1" customHeight="1" spans="1:14">
      <c r="A27" s="18"/>
      <c r="B27" s="19" t="s">
        <v>55</v>
      </c>
      <c r="C27" s="19">
        <v>1</v>
      </c>
      <c r="D27" s="20">
        <v>0.3</v>
      </c>
      <c r="E27" s="32">
        <f t="shared" si="2"/>
        <v>0.3</v>
      </c>
      <c r="F27" s="32"/>
      <c r="G27" s="19"/>
      <c r="H27" s="19"/>
      <c r="I27" s="19"/>
      <c r="J27" s="19"/>
      <c r="K27" s="19"/>
      <c r="L27" s="19"/>
      <c r="M27" s="19"/>
      <c r="N27" s="22"/>
    </row>
    <row r="28" customFormat="1" ht="18.3" hidden="1" customHeight="1" spans="1:14">
      <c r="A28" s="18"/>
      <c r="B28" s="19" t="s">
        <v>56</v>
      </c>
      <c r="C28" s="19">
        <v>1</v>
      </c>
      <c r="D28" s="20">
        <v>0.3</v>
      </c>
      <c r="E28" s="32">
        <f t="shared" si="2"/>
        <v>0.3</v>
      </c>
      <c r="F28" s="32"/>
      <c r="G28" s="19"/>
      <c r="H28" s="19"/>
      <c r="I28" s="19"/>
      <c r="J28" s="19"/>
      <c r="K28" s="19"/>
      <c r="L28" s="19"/>
      <c r="M28" s="19"/>
      <c r="N28" s="22"/>
    </row>
    <row r="29" customFormat="1" ht="18.3" hidden="1" customHeight="1" spans="1:14">
      <c r="A29" s="18"/>
      <c r="B29" s="19" t="s">
        <v>57</v>
      </c>
      <c r="C29" s="19">
        <v>1</v>
      </c>
      <c r="D29" s="20">
        <v>0.95</v>
      </c>
      <c r="E29" s="32">
        <f t="shared" si="2"/>
        <v>0.95</v>
      </c>
      <c r="F29" s="32"/>
      <c r="G29" s="19"/>
      <c r="H29" s="19"/>
      <c r="I29" s="19"/>
      <c r="J29" s="19"/>
      <c r="K29" s="19"/>
      <c r="L29" s="19"/>
      <c r="M29" s="19"/>
      <c r="N29" s="22"/>
    </row>
    <row r="30" customFormat="1" ht="18.3" hidden="1" customHeight="1" spans="1:14">
      <c r="A30" s="18"/>
      <c r="B30" s="19" t="s">
        <v>58</v>
      </c>
      <c r="C30" s="19">
        <v>1</v>
      </c>
      <c r="D30" s="20">
        <v>0.4</v>
      </c>
      <c r="E30" s="32">
        <f t="shared" si="2"/>
        <v>0.4</v>
      </c>
      <c r="F30" s="32"/>
      <c r="G30" s="19"/>
      <c r="H30" s="19"/>
      <c r="I30" s="19"/>
      <c r="J30" s="19"/>
      <c r="K30" s="19"/>
      <c r="L30" s="19"/>
      <c r="M30" s="19"/>
      <c r="N30" s="22"/>
    </row>
    <row r="31" customFormat="1" ht="18.3" hidden="1" customHeight="1" spans="1:14">
      <c r="A31" s="18"/>
      <c r="B31" s="19" t="s">
        <v>59</v>
      </c>
      <c r="C31" s="19">
        <v>1</v>
      </c>
      <c r="D31" s="20">
        <v>0.25</v>
      </c>
      <c r="E31" s="32">
        <f t="shared" si="2"/>
        <v>0.25</v>
      </c>
      <c r="F31" s="32"/>
      <c r="G31" s="19"/>
      <c r="H31" s="19"/>
      <c r="I31" s="19"/>
      <c r="J31" s="19"/>
      <c r="K31" s="19"/>
      <c r="L31" s="19"/>
      <c r="M31" s="19"/>
      <c r="N31" s="22"/>
    </row>
    <row r="32" customFormat="1" ht="18.3" hidden="1" customHeight="1" spans="1:14">
      <c r="A32" s="18"/>
      <c r="B32" s="19" t="s">
        <v>60</v>
      </c>
      <c r="C32" s="19">
        <v>1</v>
      </c>
      <c r="D32" s="20">
        <v>0.3</v>
      </c>
      <c r="E32" s="32">
        <f t="shared" si="2"/>
        <v>0.3</v>
      </c>
      <c r="F32" s="32"/>
      <c r="G32" s="19"/>
      <c r="H32" s="19"/>
      <c r="I32" s="19"/>
      <c r="J32" s="19"/>
      <c r="K32" s="19"/>
      <c r="L32" s="19"/>
      <c r="M32" s="19"/>
      <c r="N32" s="22"/>
    </row>
    <row r="33" customFormat="1" ht="18.3" hidden="1" customHeight="1" spans="1:14">
      <c r="A33" s="18"/>
      <c r="B33" s="19" t="s">
        <v>61</v>
      </c>
      <c r="C33" s="19">
        <v>1</v>
      </c>
      <c r="D33" s="20">
        <v>0.69</v>
      </c>
      <c r="E33" s="32">
        <f t="shared" si="2"/>
        <v>0.69</v>
      </c>
      <c r="F33" s="32"/>
      <c r="G33" s="19"/>
      <c r="H33" s="19"/>
      <c r="I33" s="19"/>
      <c r="J33" s="19"/>
      <c r="K33" s="19"/>
      <c r="L33" s="19"/>
      <c r="M33" s="19"/>
      <c r="N33" s="22"/>
    </row>
    <row r="34" customFormat="1" ht="18.3" hidden="1" customHeight="1" spans="1:14">
      <c r="A34" s="18">
        <v>19</v>
      </c>
      <c r="B34" s="31" t="s">
        <v>62</v>
      </c>
      <c r="C34" s="31">
        <v>1</v>
      </c>
      <c r="D34" s="32" t="s">
        <v>52</v>
      </c>
      <c r="E34" s="32">
        <f>SUM(E35:E42)</f>
        <v>40.3378</v>
      </c>
      <c r="F34" s="32"/>
      <c r="G34" s="19"/>
      <c r="H34" s="19"/>
      <c r="I34" s="19"/>
      <c r="J34" s="19"/>
      <c r="K34" s="19"/>
      <c r="L34" s="19"/>
      <c r="M34" s="19"/>
      <c r="N34" s="22"/>
    </row>
    <row r="35" customFormat="1" ht="18.3" hidden="1" customHeight="1" spans="1:14">
      <c r="A35" s="18"/>
      <c r="B35" s="19" t="s">
        <v>63</v>
      </c>
      <c r="C35" s="19">
        <v>1</v>
      </c>
      <c r="D35" s="20">
        <v>24.724</v>
      </c>
      <c r="E35" s="32">
        <f t="shared" ref="E35:E43" si="3">D35*C35</f>
        <v>24.724</v>
      </c>
      <c r="F35" s="32"/>
      <c r="G35" s="19"/>
      <c r="H35" s="19"/>
      <c r="I35" s="19"/>
      <c r="J35" s="19"/>
      <c r="K35" s="19"/>
      <c r="L35" s="19"/>
      <c r="M35" s="19"/>
      <c r="N35" s="22"/>
    </row>
    <row r="36" customFormat="1" ht="18.3" hidden="1" customHeight="1" spans="1:14">
      <c r="A36" s="18"/>
      <c r="B36" s="19" t="s">
        <v>64</v>
      </c>
      <c r="C36" s="19">
        <v>1</v>
      </c>
      <c r="D36" s="20">
        <v>0.35</v>
      </c>
      <c r="E36" s="32">
        <f t="shared" si="3"/>
        <v>0.35</v>
      </c>
      <c r="F36" s="32"/>
      <c r="G36" s="19"/>
      <c r="H36" s="19"/>
      <c r="I36" s="19"/>
      <c r="J36" s="19"/>
      <c r="K36" s="19"/>
      <c r="L36" s="19"/>
      <c r="M36" s="19"/>
      <c r="N36" s="22"/>
    </row>
    <row r="37" customFormat="1" ht="18.3" hidden="1" customHeight="1" spans="1:14">
      <c r="A37" s="18"/>
      <c r="B37" s="19" t="s">
        <v>65</v>
      </c>
      <c r="C37" s="19">
        <v>1</v>
      </c>
      <c r="D37" s="20">
        <v>0.22</v>
      </c>
      <c r="E37" s="32">
        <f t="shared" si="3"/>
        <v>0.22</v>
      </c>
      <c r="F37" s="32"/>
      <c r="G37" s="19"/>
      <c r="H37" s="19"/>
      <c r="I37" s="19"/>
      <c r="J37" s="19"/>
      <c r="K37" s="19"/>
      <c r="L37" s="19"/>
      <c r="M37" s="19"/>
      <c r="N37" s="22"/>
    </row>
    <row r="38" customFormat="1" ht="18.3" hidden="1" customHeight="1" spans="1:14">
      <c r="A38" s="18"/>
      <c r="B38" s="19" t="s">
        <v>66</v>
      </c>
      <c r="C38" s="19">
        <v>1</v>
      </c>
      <c r="D38" s="20">
        <v>0.61</v>
      </c>
      <c r="E38" s="32">
        <f t="shared" si="3"/>
        <v>0.61</v>
      </c>
      <c r="F38" s="32"/>
      <c r="G38" s="19"/>
      <c r="H38" s="19"/>
      <c r="I38" s="19"/>
      <c r="J38" s="19"/>
      <c r="K38" s="19"/>
      <c r="L38" s="19"/>
      <c r="M38" s="19"/>
      <c r="N38" s="22"/>
    </row>
    <row r="39" customFormat="1" ht="18.3" hidden="1" customHeight="1" spans="1:14">
      <c r="A39" s="18"/>
      <c r="B39" s="19" t="s">
        <v>67</v>
      </c>
      <c r="C39" s="19">
        <v>1</v>
      </c>
      <c r="D39" s="20">
        <v>0.3</v>
      </c>
      <c r="E39" s="32">
        <f t="shared" si="3"/>
        <v>0.3</v>
      </c>
      <c r="F39" s="32"/>
      <c r="G39" s="19"/>
      <c r="H39" s="19"/>
      <c r="I39" s="19"/>
      <c r="J39" s="19"/>
      <c r="K39" s="19"/>
      <c r="L39" s="19"/>
      <c r="M39" s="19"/>
      <c r="N39" s="22"/>
    </row>
    <row r="40" customFormat="1" ht="18.3" hidden="1" customHeight="1" spans="1:14">
      <c r="A40" s="18"/>
      <c r="B40" s="19" t="s">
        <v>68</v>
      </c>
      <c r="C40" s="19">
        <v>1</v>
      </c>
      <c r="D40" s="20">
        <v>0.95</v>
      </c>
      <c r="E40" s="32">
        <f t="shared" si="3"/>
        <v>0.95</v>
      </c>
      <c r="F40" s="32"/>
      <c r="G40" s="19"/>
      <c r="H40" s="19"/>
      <c r="I40" s="19"/>
      <c r="J40" s="19"/>
      <c r="K40" s="19"/>
      <c r="L40" s="19"/>
      <c r="M40" s="19"/>
      <c r="N40" s="22"/>
    </row>
    <row r="41" customFormat="1" ht="18.3" hidden="1" customHeight="1" spans="1:14">
      <c r="A41" s="18"/>
      <c r="B41" s="19" t="s">
        <v>69</v>
      </c>
      <c r="C41" s="19">
        <v>1</v>
      </c>
      <c r="D41" s="20">
        <v>12.5538</v>
      </c>
      <c r="E41" s="32">
        <f t="shared" si="3"/>
        <v>12.5538</v>
      </c>
      <c r="F41" s="32"/>
      <c r="G41" s="19"/>
      <c r="H41" s="19"/>
      <c r="I41" s="19"/>
      <c r="J41" s="19"/>
      <c r="K41" s="19"/>
      <c r="L41" s="19"/>
      <c r="M41" s="19"/>
      <c r="N41" s="22"/>
    </row>
    <row r="42" customFormat="1" ht="18.3" hidden="1" customHeight="1" spans="1:14">
      <c r="A42" s="18"/>
      <c r="B42" s="19" t="s">
        <v>70</v>
      </c>
      <c r="C42" s="19">
        <v>1</v>
      </c>
      <c r="D42" s="20">
        <v>0.63</v>
      </c>
      <c r="E42" s="32">
        <f t="shared" si="3"/>
        <v>0.63</v>
      </c>
      <c r="F42" s="32"/>
      <c r="G42" s="19"/>
      <c r="H42" s="19"/>
      <c r="I42" s="19"/>
      <c r="J42" s="19"/>
      <c r="K42" s="19"/>
      <c r="L42" s="19"/>
      <c r="M42" s="19"/>
      <c r="N42" s="22"/>
    </row>
    <row r="43" customFormat="1" ht="18.3" hidden="1" customHeight="1" spans="1:14">
      <c r="A43" s="18">
        <v>20</v>
      </c>
      <c r="B43" s="19" t="s">
        <v>71</v>
      </c>
      <c r="C43" s="19">
        <v>1</v>
      </c>
      <c r="D43" s="20">
        <v>20.9</v>
      </c>
      <c r="E43" s="20">
        <f t="shared" si="3"/>
        <v>20.9</v>
      </c>
      <c r="F43" s="20"/>
      <c r="G43" s="19"/>
      <c r="H43" s="19"/>
      <c r="I43" s="19"/>
      <c r="J43" s="19"/>
      <c r="K43" s="19"/>
      <c r="L43" s="19"/>
      <c r="M43" s="19"/>
      <c r="N43" s="22"/>
    </row>
    <row r="44" customFormat="1" ht="18.3" hidden="1" customHeight="1" spans="1:14">
      <c r="A44" s="18"/>
      <c r="B44" s="31" t="s">
        <v>72</v>
      </c>
      <c r="C44" s="31">
        <v>1</v>
      </c>
      <c r="D44" s="32" t="s">
        <v>52</v>
      </c>
      <c r="E44" s="32">
        <f>SUM(E45:E51)</f>
        <v>24.285</v>
      </c>
      <c r="F44" s="32"/>
      <c r="G44" s="19"/>
      <c r="H44" s="19"/>
      <c r="I44" s="19"/>
      <c r="J44" s="19"/>
      <c r="K44" s="19"/>
      <c r="L44" s="19"/>
      <c r="M44" s="19" t="s">
        <v>53</v>
      </c>
      <c r="N44" s="22"/>
    </row>
    <row r="45" customFormat="1" ht="18.3" hidden="1" customHeight="1" spans="1:14">
      <c r="A45" s="18"/>
      <c r="B45" s="19" t="s">
        <v>73</v>
      </c>
      <c r="C45" s="19">
        <v>1</v>
      </c>
      <c r="D45" s="20">
        <v>4.825</v>
      </c>
      <c r="E45" s="32">
        <f t="shared" ref="E45:E52" si="4">D45*C45</f>
        <v>4.825</v>
      </c>
      <c r="F45" s="32"/>
      <c r="G45" s="19"/>
      <c r="H45" s="19"/>
      <c r="I45" s="19"/>
      <c r="J45" s="19"/>
      <c r="K45" s="19"/>
      <c r="L45" s="19"/>
      <c r="M45" s="19"/>
      <c r="N45" s="22"/>
    </row>
    <row r="46" customFormat="1" ht="18.3" hidden="1" customHeight="1" spans="1:14">
      <c r="A46" s="18"/>
      <c r="B46" s="19" t="s">
        <v>74</v>
      </c>
      <c r="C46" s="19">
        <v>3</v>
      </c>
      <c r="D46" s="20">
        <v>1.8</v>
      </c>
      <c r="E46" s="32">
        <f t="shared" si="4"/>
        <v>5.4</v>
      </c>
      <c r="F46" s="32"/>
      <c r="G46" s="19"/>
      <c r="H46" s="19"/>
      <c r="I46" s="19"/>
      <c r="J46" s="19"/>
      <c r="K46" s="19"/>
      <c r="L46" s="19"/>
      <c r="M46" s="19"/>
      <c r="N46" s="22"/>
    </row>
    <row r="47" customFormat="1" ht="18.3" hidden="1" customHeight="1" spans="1:14">
      <c r="A47" s="18"/>
      <c r="B47" s="19" t="s">
        <v>75</v>
      </c>
      <c r="C47" s="19">
        <v>1</v>
      </c>
      <c r="D47" s="20">
        <v>0.46</v>
      </c>
      <c r="E47" s="32">
        <f t="shared" si="4"/>
        <v>0.46</v>
      </c>
      <c r="F47" s="32"/>
      <c r="G47" s="19"/>
      <c r="H47" s="19"/>
      <c r="I47" s="19"/>
      <c r="J47" s="19"/>
      <c r="K47" s="19"/>
      <c r="L47" s="19"/>
      <c r="M47" s="19"/>
      <c r="N47" s="22"/>
    </row>
    <row r="48" customFormat="1" ht="18.3" hidden="1" customHeight="1" spans="1:14">
      <c r="A48" s="18"/>
      <c r="B48" s="19" t="s">
        <v>76</v>
      </c>
      <c r="C48" s="19">
        <v>1</v>
      </c>
      <c r="D48" s="20">
        <v>5</v>
      </c>
      <c r="E48" s="32">
        <f t="shared" si="4"/>
        <v>5</v>
      </c>
      <c r="F48" s="32"/>
      <c r="G48" s="19"/>
      <c r="H48" s="19"/>
      <c r="I48" s="19"/>
      <c r="J48" s="19"/>
      <c r="K48" s="19"/>
      <c r="L48" s="19"/>
      <c r="M48" s="19"/>
      <c r="N48" s="22"/>
    </row>
    <row r="49" customFormat="1" ht="18.3" hidden="1" customHeight="1" spans="1:14">
      <c r="A49" s="18"/>
      <c r="B49" s="19" t="s">
        <v>77</v>
      </c>
      <c r="C49" s="19">
        <v>2</v>
      </c>
      <c r="D49" s="20">
        <v>1.2</v>
      </c>
      <c r="E49" s="32">
        <f t="shared" si="4"/>
        <v>2.4</v>
      </c>
      <c r="F49" s="32"/>
      <c r="G49" s="19"/>
      <c r="H49" s="19"/>
      <c r="I49" s="19"/>
      <c r="J49" s="19"/>
      <c r="K49" s="19"/>
      <c r="L49" s="19"/>
      <c r="M49" s="19"/>
      <c r="N49" s="22"/>
    </row>
    <row r="50" customFormat="1" ht="18.3" hidden="1" customHeight="1" spans="1:14">
      <c r="A50" s="18"/>
      <c r="B50" s="19" t="s">
        <v>78</v>
      </c>
      <c r="C50" s="19">
        <v>1</v>
      </c>
      <c r="D50" s="20">
        <v>2.6</v>
      </c>
      <c r="E50" s="32">
        <f t="shared" si="4"/>
        <v>2.6</v>
      </c>
      <c r="F50" s="32"/>
      <c r="G50" s="19"/>
      <c r="H50" s="19"/>
      <c r="I50" s="19"/>
      <c r="J50" s="19"/>
      <c r="K50" s="19"/>
      <c r="L50" s="19"/>
      <c r="M50" s="19"/>
      <c r="N50" s="22"/>
    </row>
    <row r="51" customFormat="1" ht="18.3" hidden="1" customHeight="1" spans="1:14">
      <c r="A51" s="18"/>
      <c r="B51" s="19" t="s">
        <v>79</v>
      </c>
      <c r="C51" s="19">
        <v>1</v>
      </c>
      <c r="D51" s="20">
        <v>3.6</v>
      </c>
      <c r="E51" s="32">
        <f t="shared" si="4"/>
        <v>3.6</v>
      </c>
      <c r="F51" s="32"/>
      <c r="G51" s="19"/>
      <c r="H51" s="19"/>
      <c r="I51" s="19"/>
      <c r="J51" s="19"/>
      <c r="K51" s="19"/>
      <c r="L51" s="19"/>
      <c r="M51" s="19"/>
      <c r="N51" s="22"/>
    </row>
    <row r="52" customFormat="1" ht="18.3" hidden="1" customHeight="1" spans="1:14">
      <c r="A52" s="18">
        <v>21</v>
      </c>
      <c r="B52" s="18" t="s">
        <v>80</v>
      </c>
      <c r="C52" s="23">
        <v>3</v>
      </c>
      <c r="D52" s="23">
        <v>0.97</v>
      </c>
      <c r="E52" s="23">
        <f t="shared" si="4"/>
        <v>2.91</v>
      </c>
      <c r="F52" s="23"/>
      <c r="G52" s="23"/>
      <c r="H52" s="23"/>
      <c r="I52" s="23"/>
      <c r="J52" s="23"/>
      <c r="K52" s="23"/>
      <c r="L52" s="23"/>
      <c r="M52" s="23" t="s">
        <v>53</v>
      </c>
      <c r="N52" s="21" t="s">
        <v>29</v>
      </c>
    </row>
    <row r="53" customFormat="1" ht="18.3" hidden="1" customHeight="1" spans="1:14">
      <c r="A53" s="18"/>
      <c r="B53" s="25" t="s">
        <v>38</v>
      </c>
      <c r="C53" s="27">
        <f>SUM(C20:C51)</f>
        <v>41</v>
      </c>
      <c r="D53" s="27"/>
      <c r="E53" s="27">
        <f>SUM(E20:E24,E25,E34,E44,E52,E43)</f>
        <v>151.9757</v>
      </c>
      <c r="F53" s="27"/>
      <c r="G53" s="23"/>
      <c r="H53" s="23"/>
      <c r="I53" s="23"/>
      <c r="J53" s="23"/>
      <c r="K53" s="23"/>
      <c r="L53" s="23"/>
      <c r="M53" s="23"/>
      <c r="N53" s="28"/>
    </row>
    <row r="54" customFormat="1" ht="18.3" hidden="1" customHeight="1" spans="1:14">
      <c r="A54" s="16" t="s">
        <v>81</v>
      </c>
      <c r="B54" s="16" t="s">
        <v>82</v>
      </c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customFormat="1" ht="30.45" hidden="1" customHeight="1" spans="1:14">
      <c r="A55" s="18">
        <v>22</v>
      </c>
      <c r="B55" s="19" t="s">
        <v>83</v>
      </c>
      <c r="C55" s="19">
        <v>2</v>
      </c>
      <c r="D55" s="20">
        <v>22.4</v>
      </c>
      <c r="E55" s="20">
        <f t="shared" ref="E55:E60" si="5">D55*C55</f>
        <v>44.8</v>
      </c>
      <c r="F55" s="20"/>
      <c r="G55" s="23"/>
      <c r="H55" s="23"/>
      <c r="I55" s="23"/>
      <c r="J55" s="23"/>
      <c r="K55" s="23"/>
      <c r="L55" s="23"/>
      <c r="M55" s="23"/>
      <c r="N55" s="33" t="s">
        <v>17</v>
      </c>
    </row>
    <row r="56" customFormat="1" ht="18.3" hidden="1" customHeight="1" spans="1:14">
      <c r="A56" s="18">
        <v>23</v>
      </c>
      <c r="B56" s="19" t="s">
        <v>84</v>
      </c>
      <c r="C56" s="19">
        <v>1</v>
      </c>
      <c r="D56" s="20">
        <v>0.35</v>
      </c>
      <c r="E56" s="20">
        <f t="shared" si="5"/>
        <v>0.35</v>
      </c>
      <c r="F56" s="20"/>
      <c r="G56" s="19"/>
      <c r="H56" s="19"/>
      <c r="I56" s="19"/>
      <c r="J56" s="19"/>
      <c r="K56" s="19"/>
      <c r="L56" s="19" t="s">
        <v>35</v>
      </c>
      <c r="M56" s="19" t="s">
        <v>36</v>
      </c>
      <c r="N56" s="34"/>
    </row>
    <row r="57" customFormat="1" ht="18.3" hidden="1" customHeight="1" spans="1:14">
      <c r="A57" s="18">
        <v>24</v>
      </c>
      <c r="B57" s="19" t="s">
        <v>85</v>
      </c>
      <c r="C57" s="19">
        <v>1</v>
      </c>
      <c r="D57" s="20">
        <v>0.46</v>
      </c>
      <c r="E57" s="20">
        <f t="shared" si="5"/>
        <v>0.46</v>
      </c>
      <c r="F57" s="20"/>
      <c r="G57" s="19"/>
      <c r="H57" s="19"/>
      <c r="I57" s="19"/>
      <c r="J57" s="19"/>
      <c r="K57" s="19"/>
      <c r="L57" s="19" t="s">
        <v>15</v>
      </c>
      <c r="M57" s="19" t="s">
        <v>16</v>
      </c>
      <c r="N57" s="34"/>
    </row>
    <row r="58" customFormat="1" ht="18.3" hidden="1" customHeight="1" spans="1:14">
      <c r="A58" s="18">
        <v>25</v>
      </c>
      <c r="B58" s="19" t="s">
        <v>86</v>
      </c>
      <c r="C58" s="19">
        <v>1</v>
      </c>
      <c r="D58" s="20">
        <v>0.94</v>
      </c>
      <c r="E58" s="20">
        <f t="shared" si="5"/>
        <v>0.94</v>
      </c>
      <c r="F58" s="20"/>
      <c r="G58" s="19"/>
      <c r="H58" s="19"/>
      <c r="I58" s="19"/>
      <c r="J58" s="19"/>
      <c r="K58" s="19"/>
      <c r="L58" s="19" t="s">
        <v>87</v>
      </c>
      <c r="M58" s="19" t="s">
        <v>53</v>
      </c>
      <c r="N58" s="34"/>
    </row>
    <row r="59" customFormat="1" ht="18.3" hidden="1" customHeight="1" spans="1:14">
      <c r="A59" s="18">
        <v>26</v>
      </c>
      <c r="B59" s="19" t="s">
        <v>88</v>
      </c>
      <c r="C59" s="19">
        <v>1</v>
      </c>
      <c r="D59" s="20">
        <v>0.43</v>
      </c>
      <c r="E59" s="20">
        <f t="shared" si="5"/>
        <v>0.43</v>
      </c>
      <c r="F59" s="20"/>
      <c r="G59" s="19"/>
      <c r="H59" s="19"/>
      <c r="I59" s="19"/>
      <c r="J59" s="19"/>
      <c r="K59" s="19"/>
      <c r="L59" s="19" t="s">
        <v>35</v>
      </c>
      <c r="M59" s="19" t="s">
        <v>36</v>
      </c>
      <c r="N59" s="34"/>
    </row>
    <row r="60" customFormat="1" ht="18.3" hidden="1" customHeight="1" spans="1:14">
      <c r="A60" s="18">
        <v>27</v>
      </c>
      <c r="B60" s="19" t="s">
        <v>88</v>
      </c>
      <c r="C60" s="19">
        <v>2</v>
      </c>
      <c r="D60" s="20">
        <v>0.39</v>
      </c>
      <c r="E60" s="20">
        <f t="shared" si="5"/>
        <v>0.78</v>
      </c>
      <c r="F60" s="20"/>
      <c r="G60" s="19"/>
      <c r="H60" s="19"/>
      <c r="I60" s="19"/>
      <c r="J60" s="19"/>
      <c r="K60" s="19"/>
      <c r="L60" s="19" t="s">
        <v>87</v>
      </c>
      <c r="M60" s="19" t="s">
        <v>89</v>
      </c>
      <c r="N60" s="34"/>
    </row>
    <row r="61" customFormat="1" ht="18.3" hidden="1" customHeight="1" spans="1:14">
      <c r="A61" s="18">
        <v>28</v>
      </c>
      <c r="B61" s="19" t="s">
        <v>88</v>
      </c>
      <c r="C61" s="19">
        <v>1</v>
      </c>
      <c r="D61" s="20">
        <v>0.4</v>
      </c>
      <c r="E61" s="20">
        <v>1.78</v>
      </c>
      <c r="F61" s="20"/>
      <c r="G61" s="19"/>
      <c r="H61" s="19"/>
      <c r="I61" s="19"/>
      <c r="J61" s="19"/>
      <c r="K61" s="19"/>
      <c r="L61" s="19"/>
      <c r="M61" s="19"/>
      <c r="N61" s="34"/>
    </row>
    <row r="62" customFormat="1" ht="18.3" hidden="1" customHeight="1" spans="1:14">
      <c r="A62" s="18">
        <v>29</v>
      </c>
      <c r="B62" s="19" t="s">
        <v>90</v>
      </c>
      <c r="C62" s="19">
        <v>1</v>
      </c>
      <c r="D62" s="20">
        <v>0.7</v>
      </c>
      <c r="E62" s="20">
        <f t="shared" ref="E62:E84" si="6">D62*C62</f>
        <v>0.7</v>
      </c>
      <c r="F62" s="20"/>
      <c r="G62" s="19"/>
      <c r="H62" s="19"/>
      <c r="I62" s="19"/>
      <c r="J62" s="19"/>
      <c r="K62" s="19"/>
      <c r="L62" s="19" t="s">
        <v>15</v>
      </c>
      <c r="M62" s="19" t="s">
        <v>16</v>
      </c>
      <c r="N62" s="34"/>
    </row>
    <row r="63" customFormat="1" ht="18.3" hidden="1" customHeight="1" spans="1:14">
      <c r="A63" s="18">
        <v>30</v>
      </c>
      <c r="B63" s="19" t="s">
        <v>91</v>
      </c>
      <c r="C63" s="19">
        <v>1</v>
      </c>
      <c r="D63" s="20">
        <v>1.87</v>
      </c>
      <c r="E63" s="20">
        <f t="shared" si="6"/>
        <v>1.87</v>
      </c>
      <c r="F63" s="20"/>
      <c r="G63" s="19"/>
      <c r="H63" s="19"/>
      <c r="I63" s="19"/>
      <c r="J63" s="19"/>
      <c r="K63" s="19"/>
      <c r="L63" s="19" t="s">
        <v>92</v>
      </c>
      <c r="M63" s="19" t="s">
        <v>93</v>
      </c>
      <c r="N63" s="34"/>
    </row>
    <row r="64" customFormat="1" ht="18.3" hidden="1" customHeight="1" spans="1:14">
      <c r="A64" s="18">
        <v>31</v>
      </c>
      <c r="B64" s="19" t="s">
        <v>94</v>
      </c>
      <c r="C64" s="19">
        <v>2</v>
      </c>
      <c r="D64" s="20">
        <v>2.04</v>
      </c>
      <c r="E64" s="20">
        <f t="shared" si="6"/>
        <v>4.08</v>
      </c>
      <c r="F64" s="20"/>
      <c r="G64" s="19"/>
      <c r="H64" s="19"/>
      <c r="I64" s="19"/>
      <c r="J64" s="19"/>
      <c r="K64" s="19"/>
      <c r="L64" s="19" t="s">
        <v>87</v>
      </c>
      <c r="M64" s="19" t="s">
        <v>53</v>
      </c>
      <c r="N64" s="34"/>
    </row>
    <row r="65" customFormat="1" ht="18.3" hidden="1" customHeight="1" spans="1:14">
      <c r="A65" s="18">
        <v>32</v>
      </c>
      <c r="B65" s="19" t="s">
        <v>95</v>
      </c>
      <c r="C65" s="19">
        <v>1</v>
      </c>
      <c r="D65" s="20">
        <v>1.85</v>
      </c>
      <c r="E65" s="20">
        <f t="shared" si="6"/>
        <v>1.85</v>
      </c>
      <c r="F65" s="20"/>
      <c r="G65" s="19"/>
      <c r="H65" s="19"/>
      <c r="I65" s="19"/>
      <c r="J65" s="19"/>
      <c r="K65" s="19"/>
      <c r="L65" s="19" t="s">
        <v>87</v>
      </c>
      <c r="M65" s="19" t="s">
        <v>53</v>
      </c>
      <c r="N65" s="34"/>
    </row>
    <row r="66" customFormat="1" ht="18.3" hidden="1" customHeight="1" spans="1:14">
      <c r="A66" s="18">
        <v>33</v>
      </c>
      <c r="B66" s="19" t="s">
        <v>96</v>
      </c>
      <c r="C66" s="19">
        <v>2</v>
      </c>
      <c r="D66" s="20">
        <v>7.21</v>
      </c>
      <c r="E66" s="20">
        <f t="shared" si="6"/>
        <v>14.42</v>
      </c>
      <c r="F66" s="20"/>
      <c r="G66" s="23"/>
      <c r="H66" s="23"/>
      <c r="I66" s="23"/>
      <c r="J66" s="23"/>
      <c r="K66" s="23"/>
      <c r="L66" s="23"/>
      <c r="M66" s="23"/>
      <c r="N66" s="34"/>
    </row>
    <row r="67" customFormat="1" ht="18.3" hidden="1" customHeight="1" spans="1:14">
      <c r="A67" s="18">
        <v>34</v>
      </c>
      <c r="B67" s="19" t="s">
        <v>97</v>
      </c>
      <c r="C67" s="19">
        <v>2</v>
      </c>
      <c r="D67" s="20">
        <v>7.4</v>
      </c>
      <c r="E67" s="20">
        <f t="shared" si="6"/>
        <v>14.8</v>
      </c>
      <c r="F67" s="20"/>
      <c r="G67" s="23"/>
      <c r="H67" s="23"/>
      <c r="I67" s="23"/>
      <c r="J67" s="23"/>
      <c r="K67" s="23"/>
      <c r="L67" s="23"/>
      <c r="M67" s="23"/>
      <c r="N67" s="34"/>
    </row>
    <row r="68" customFormat="1" ht="18.3" hidden="1" customHeight="1" spans="1:14">
      <c r="A68" s="18">
        <v>35</v>
      </c>
      <c r="B68" s="19" t="s">
        <v>98</v>
      </c>
      <c r="C68" s="19">
        <v>1</v>
      </c>
      <c r="D68" s="20">
        <v>3.1</v>
      </c>
      <c r="E68" s="20">
        <f t="shared" si="6"/>
        <v>3.1</v>
      </c>
      <c r="F68" s="20"/>
      <c r="G68" s="19"/>
      <c r="H68" s="19"/>
      <c r="I68" s="19"/>
      <c r="J68" s="19"/>
      <c r="K68" s="19"/>
      <c r="L68" s="19" t="s">
        <v>15</v>
      </c>
      <c r="M68" s="19" t="s">
        <v>16</v>
      </c>
      <c r="N68" s="34"/>
    </row>
    <row r="69" customFormat="1" ht="18.3" hidden="1" customHeight="1" spans="1:14">
      <c r="A69" s="18">
        <v>36</v>
      </c>
      <c r="B69" s="19" t="s">
        <v>99</v>
      </c>
      <c r="C69" s="19">
        <v>1</v>
      </c>
      <c r="D69" s="20">
        <v>0.3</v>
      </c>
      <c r="E69" s="20">
        <f t="shared" si="6"/>
        <v>0.3</v>
      </c>
      <c r="F69" s="20"/>
      <c r="G69" s="19"/>
      <c r="H69" s="19"/>
      <c r="I69" s="19"/>
      <c r="J69" s="19"/>
      <c r="K69" s="19"/>
      <c r="L69" s="19" t="s">
        <v>35</v>
      </c>
      <c r="M69" s="19" t="s">
        <v>36</v>
      </c>
      <c r="N69" s="34"/>
    </row>
    <row r="70" customFormat="1" ht="18.3" hidden="1" customHeight="1" spans="1:14">
      <c r="A70" s="18">
        <v>37</v>
      </c>
      <c r="B70" s="19" t="s">
        <v>100</v>
      </c>
      <c r="C70" s="19">
        <v>1</v>
      </c>
      <c r="D70" s="20">
        <v>0.46</v>
      </c>
      <c r="E70" s="20">
        <f t="shared" si="6"/>
        <v>0.46</v>
      </c>
      <c r="F70" s="20"/>
      <c r="G70" s="19"/>
      <c r="H70" s="19"/>
      <c r="I70" s="19"/>
      <c r="J70" s="19"/>
      <c r="K70" s="19"/>
      <c r="L70" s="19" t="s">
        <v>15</v>
      </c>
      <c r="M70" s="19" t="s">
        <v>16</v>
      </c>
      <c r="N70" s="34"/>
    </row>
    <row r="71" customFormat="1" ht="18.3" hidden="1" customHeight="1" spans="1:14">
      <c r="A71" s="18">
        <v>38</v>
      </c>
      <c r="B71" s="19" t="s">
        <v>100</v>
      </c>
      <c r="C71" s="19">
        <v>1</v>
      </c>
      <c r="D71" s="20">
        <v>0.35</v>
      </c>
      <c r="E71" s="20">
        <f t="shared" si="6"/>
        <v>0.35</v>
      </c>
      <c r="F71" s="20"/>
      <c r="G71" s="19"/>
      <c r="H71" s="19"/>
      <c r="I71" s="19"/>
      <c r="J71" s="19"/>
      <c r="K71" s="19"/>
      <c r="L71" s="19" t="s">
        <v>101</v>
      </c>
      <c r="M71" s="19" t="s">
        <v>28</v>
      </c>
      <c r="N71" s="34"/>
    </row>
    <row r="72" customFormat="1" ht="18.3" hidden="1" customHeight="1" spans="1:14">
      <c r="A72" s="18">
        <v>39</v>
      </c>
      <c r="B72" s="19" t="s">
        <v>102</v>
      </c>
      <c r="C72" s="19">
        <v>1</v>
      </c>
      <c r="D72" s="20">
        <v>0.55</v>
      </c>
      <c r="E72" s="20">
        <f t="shared" si="6"/>
        <v>0.55</v>
      </c>
      <c r="F72" s="20"/>
      <c r="G72" s="19"/>
      <c r="H72" s="19"/>
      <c r="I72" s="19"/>
      <c r="J72" s="19"/>
      <c r="K72" s="19"/>
      <c r="L72" s="19" t="s">
        <v>92</v>
      </c>
      <c r="M72" s="19" t="s">
        <v>93</v>
      </c>
      <c r="N72" s="34"/>
    </row>
    <row r="73" customFormat="1" ht="18.3" hidden="1" customHeight="1" spans="1:14">
      <c r="A73" s="18">
        <v>40</v>
      </c>
      <c r="B73" s="19" t="s">
        <v>103</v>
      </c>
      <c r="C73" s="19">
        <v>1</v>
      </c>
      <c r="D73" s="20">
        <v>0.8</v>
      </c>
      <c r="E73" s="20">
        <f t="shared" si="6"/>
        <v>0.8</v>
      </c>
      <c r="F73" s="20"/>
      <c r="G73" s="19"/>
      <c r="H73" s="19"/>
      <c r="I73" s="19"/>
      <c r="J73" s="19"/>
      <c r="K73" s="19"/>
      <c r="L73" s="19" t="s">
        <v>92</v>
      </c>
      <c r="M73" s="19" t="s">
        <v>93</v>
      </c>
      <c r="N73" s="34"/>
    </row>
    <row r="74" customFormat="1" ht="18.3" hidden="1" customHeight="1" spans="1:14">
      <c r="A74" s="18">
        <v>41</v>
      </c>
      <c r="B74" s="19" t="s">
        <v>104</v>
      </c>
      <c r="C74" s="19">
        <v>1</v>
      </c>
      <c r="D74" s="20">
        <v>0.42</v>
      </c>
      <c r="E74" s="20">
        <f t="shared" si="6"/>
        <v>0.42</v>
      </c>
      <c r="F74" s="20"/>
      <c r="G74" s="19"/>
      <c r="H74" s="19"/>
      <c r="I74" s="19"/>
      <c r="J74" s="19"/>
      <c r="K74" s="19"/>
      <c r="L74" s="19" t="s">
        <v>92</v>
      </c>
      <c r="M74" s="19" t="s">
        <v>93</v>
      </c>
      <c r="N74" s="34"/>
    </row>
    <row r="75" customFormat="1" ht="18.3" hidden="1" customHeight="1" spans="1:14">
      <c r="A75" s="18">
        <v>42</v>
      </c>
      <c r="B75" s="19" t="s">
        <v>105</v>
      </c>
      <c r="C75" s="19">
        <v>1</v>
      </c>
      <c r="D75" s="20">
        <v>0.26</v>
      </c>
      <c r="E75" s="20">
        <f t="shared" si="6"/>
        <v>0.26</v>
      </c>
      <c r="F75" s="20"/>
      <c r="G75" s="19"/>
      <c r="H75" s="19"/>
      <c r="I75" s="19"/>
      <c r="J75" s="19"/>
      <c r="K75" s="19"/>
      <c r="L75" s="19" t="s">
        <v>92</v>
      </c>
      <c r="M75" s="19" t="s">
        <v>93</v>
      </c>
      <c r="N75" s="34"/>
    </row>
    <row r="76" customFormat="1" ht="18.3" hidden="1" customHeight="1" spans="1:14">
      <c r="A76" s="18">
        <v>43</v>
      </c>
      <c r="B76" s="19" t="s">
        <v>106</v>
      </c>
      <c r="C76" s="19">
        <v>1</v>
      </c>
      <c r="D76" s="20">
        <v>0.42</v>
      </c>
      <c r="E76" s="20">
        <f t="shared" si="6"/>
        <v>0.42</v>
      </c>
      <c r="F76" s="20"/>
      <c r="G76" s="19"/>
      <c r="H76" s="19"/>
      <c r="I76" s="19"/>
      <c r="J76" s="19"/>
      <c r="K76" s="19"/>
      <c r="L76" s="19" t="s">
        <v>92</v>
      </c>
      <c r="M76" s="19" t="s">
        <v>93</v>
      </c>
      <c r="N76" s="34"/>
    </row>
    <row r="77" customFormat="1" ht="18.3" hidden="1" customHeight="1" spans="1:14">
      <c r="A77" s="18">
        <v>44</v>
      </c>
      <c r="B77" s="19" t="s">
        <v>107</v>
      </c>
      <c r="C77" s="19">
        <v>1</v>
      </c>
      <c r="D77" s="20">
        <v>0.26</v>
      </c>
      <c r="E77" s="20">
        <f t="shared" si="6"/>
        <v>0.26</v>
      </c>
      <c r="F77" s="20"/>
      <c r="G77" s="19"/>
      <c r="H77" s="19"/>
      <c r="I77" s="19"/>
      <c r="J77" s="19"/>
      <c r="K77" s="19"/>
      <c r="L77" s="19" t="s">
        <v>92</v>
      </c>
      <c r="M77" s="19" t="s">
        <v>93</v>
      </c>
      <c r="N77" s="34"/>
    </row>
    <row r="78" customFormat="1" ht="18.3" hidden="1" customHeight="1" spans="1:14">
      <c r="A78" s="18">
        <v>45</v>
      </c>
      <c r="B78" s="19" t="s">
        <v>108</v>
      </c>
      <c r="C78" s="19">
        <v>1</v>
      </c>
      <c r="D78" s="20">
        <v>0.4</v>
      </c>
      <c r="E78" s="20">
        <f t="shared" si="6"/>
        <v>0.4</v>
      </c>
      <c r="F78" s="20"/>
      <c r="G78" s="19"/>
      <c r="H78" s="19"/>
      <c r="I78" s="19"/>
      <c r="J78" s="19"/>
      <c r="K78" s="19"/>
      <c r="L78" s="19" t="s">
        <v>92</v>
      </c>
      <c r="M78" s="19" t="s">
        <v>93</v>
      </c>
      <c r="N78" s="34"/>
    </row>
    <row r="79" customFormat="1" ht="18.3" hidden="1" customHeight="1" spans="1:14">
      <c r="A79" s="18">
        <v>46</v>
      </c>
      <c r="B79" s="19" t="s">
        <v>109</v>
      </c>
      <c r="C79" s="19">
        <v>1</v>
      </c>
      <c r="D79" s="20">
        <v>0.6</v>
      </c>
      <c r="E79" s="20">
        <f t="shared" si="6"/>
        <v>0.6</v>
      </c>
      <c r="F79" s="20"/>
      <c r="G79" s="19"/>
      <c r="H79" s="19"/>
      <c r="I79" s="19"/>
      <c r="J79" s="19"/>
      <c r="K79" s="19"/>
      <c r="L79" s="19" t="s">
        <v>35</v>
      </c>
      <c r="M79" s="19" t="s">
        <v>36</v>
      </c>
      <c r="N79" s="34"/>
    </row>
    <row r="80" customFormat="1" ht="30.75" hidden="1" customHeight="1" spans="1:14">
      <c r="A80" s="18">
        <v>47</v>
      </c>
      <c r="B80" s="19" t="s">
        <v>110</v>
      </c>
      <c r="C80" s="19">
        <v>1</v>
      </c>
      <c r="D80" s="20">
        <v>6</v>
      </c>
      <c r="E80" s="20">
        <f t="shared" si="6"/>
        <v>6</v>
      </c>
      <c r="F80" s="20"/>
      <c r="G80" s="19"/>
      <c r="H80" s="19"/>
      <c r="I80" s="19"/>
      <c r="J80" s="19"/>
      <c r="K80" s="19"/>
      <c r="L80" s="19" t="s">
        <v>87</v>
      </c>
      <c r="M80" s="19" t="s">
        <v>53</v>
      </c>
      <c r="N80" s="34"/>
    </row>
    <row r="81" customFormat="1" ht="18.3" hidden="1" customHeight="1" spans="1:14">
      <c r="A81" s="18">
        <v>48</v>
      </c>
      <c r="B81" s="19" t="s">
        <v>111</v>
      </c>
      <c r="C81" s="19">
        <v>2</v>
      </c>
      <c r="D81" s="20">
        <v>1.7</v>
      </c>
      <c r="E81" s="20">
        <f t="shared" si="6"/>
        <v>3.4</v>
      </c>
      <c r="F81" s="20"/>
      <c r="G81" s="19"/>
      <c r="H81" s="19"/>
      <c r="I81" s="19"/>
      <c r="J81" s="19"/>
      <c r="K81" s="19"/>
      <c r="L81" s="19" t="s">
        <v>87</v>
      </c>
      <c r="M81" s="19" t="s">
        <v>53</v>
      </c>
      <c r="N81" s="34"/>
    </row>
    <row r="82" customFormat="1" ht="18.3" hidden="1" customHeight="1" spans="1:14">
      <c r="A82" s="18">
        <v>49</v>
      </c>
      <c r="B82" s="19" t="s">
        <v>111</v>
      </c>
      <c r="C82" s="19">
        <v>3</v>
      </c>
      <c r="D82" s="20">
        <v>1.5</v>
      </c>
      <c r="E82" s="20">
        <f t="shared" si="6"/>
        <v>4.5</v>
      </c>
      <c r="F82" s="20"/>
      <c r="G82" s="19"/>
      <c r="H82" s="19"/>
      <c r="I82" s="19"/>
      <c r="J82" s="19"/>
      <c r="K82" s="19"/>
      <c r="L82" s="19" t="s">
        <v>87</v>
      </c>
      <c r="M82" s="19" t="s">
        <v>53</v>
      </c>
      <c r="N82" s="34"/>
    </row>
    <row r="83" customFormat="1" ht="18.3" hidden="1" customHeight="1" spans="1:14">
      <c r="A83" s="18">
        <v>50</v>
      </c>
      <c r="B83" s="19" t="s">
        <v>111</v>
      </c>
      <c r="C83" s="19">
        <v>2</v>
      </c>
      <c r="D83" s="20">
        <v>0.85</v>
      </c>
      <c r="E83" s="20">
        <f t="shared" si="6"/>
        <v>1.7</v>
      </c>
      <c r="F83" s="20"/>
      <c r="G83" s="19"/>
      <c r="H83" s="19"/>
      <c r="I83" s="19"/>
      <c r="J83" s="19"/>
      <c r="K83" s="19"/>
      <c r="L83" s="19" t="s">
        <v>87</v>
      </c>
      <c r="M83" s="19" t="s">
        <v>53</v>
      </c>
      <c r="N83" s="34"/>
    </row>
    <row r="84" customFormat="1" ht="18.3" hidden="1" customHeight="1" spans="1:14">
      <c r="A84" s="18">
        <v>51</v>
      </c>
      <c r="B84" s="19" t="s">
        <v>112</v>
      </c>
      <c r="C84" s="19">
        <v>2</v>
      </c>
      <c r="D84" s="20">
        <v>0.273</v>
      </c>
      <c r="E84" s="20">
        <f t="shared" si="6"/>
        <v>0.546</v>
      </c>
      <c r="F84" s="20"/>
      <c r="G84" s="19"/>
      <c r="H84" s="19"/>
      <c r="I84" s="19"/>
      <c r="J84" s="19"/>
      <c r="K84" s="19"/>
      <c r="L84" s="19" t="s">
        <v>87</v>
      </c>
      <c r="M84" s="19" t="s">
        <v>53</v>
      </c>
      <c r="N84" s="36"/>
    </row>
    <row r="85" customFormat="1" ht="18.3" hidden="1" customHeight="1" spans="1:14">
      <c r="A85" s="18"/>
      <c r="B85" s="25" t="s">
        <v>38</v>
      </c>
      <c r="C85" s="26">
        <f>SUM(C55:C84)</f>
        <v>40</v>
      </c>
      <c r="D85" s="26"/>
      <c r="E85" s="27">
        <f>SUM(E55:E84)</f>
        <v>111.326</v>
      </c>
      <c r="F85" s="27"/>
      <c r="G85" s="23"/>
      <c r="H85" s="23"/>
      <c r="I85" s="23"/>
      <c r="J85" s="23"/>
      <c r="K85" s="23"/>
      <c r="L85" s="23"/>
      <c r="M85" s="23"/>
      <c r="N85" s="28"/>
    </row>
    <row r="86" customFormat="1" ht="18.3" hidden="1" customHeight="1" spans="1:14">
      <c r="A86" s="16" t="s">
        <v>113</v>
      </c>
      <c r="B86" s="16" t="s">
        <v>114</v>
      </c>
      <c r="C86" s="16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</row>
    <row r="87" customFormat="1" ht="18.3" hidden="1" customHeight="1" spans="1:14">
      <c r="A87" s="18">
        <v>52</v>
      </c>
      <c r="B87" s="19" t="s">
        <v>115</v>
      </c>
      <c r="C87" s="19">
        <v>1</v>
      </c>
      <c r="D87" s="20">
        <v>3.8</v>
      </c>
      <c r="E87" s="20">
        <f t="shared" ref="E87:E103" si="7">D87*C87</f>
        <v>3.8</v>
      </c>
      <c r="F87" s="20"/>
      <c r="G87" s="19"/>
      <c r="H87" s="19"/>
      <c r="I87" s="19"/>
      <c r="J87" s="19"/>
      <c r="K87" s="19"/>
      <c r="L87" s="19" t="s">
        <v>116</v>
      </c>
      <c r="M87" s="19" t="s">
        <v>28</v>
      </c>
      <c r="N87" s="33" t="s">
        <v>17</v>
      </c>
    </row>
    <row r="88" customFormat="1" ht="18.3" hidden="1" customHeight="1" spans="1:14">
      <c r="A88" s="18">
        <v>53</v>
      </c>
      <c r="B88" s="19" t="s">
        <v>117</v>
      </c>
      <c r="C88" s="19">
        <v>1</v>
      </c>
      <c r="D88" s="20">
        <v>8.69</v>
      </c>
      <c r="E88" s="20">
        <f t="shared" si="7"/>
        <v>8.69</v>
      </c>
      <c r="F88" s="20"/>
      <c r="G88" s="19"/>
      <c r="H88" s="19"/>
      <c r="I88" s="19"/>
      <c r="J88" s="19"/>
      <c r="K88" s="19"/>
      <c r="L88" s="19" t="s">
        <v>87</v>
      </c>
      <c r="M88" s="19" t="s">
        <v>53</v>
      </c>
      <c r="N88" s="34"/>
    </row>
    <row r="89" customFormat="1" ht="18.3" hidden="1" customHeight="1" spans="1:14">
      <c r="A89" s="18">
        <v>54</v>
      </c>
      <c r="B89" s="19" t="s">
        <v>118</v>
      </c>
      <c r="C89" s="19">
        <v>1</v>
      </c>
      <c r="D89" s="20">
        <v>0.21</v>
      </c>
      <c r="E89" s="20">
        <f t="shared" si="7"/>
        <v>0.21</v>
      </c>
      <c r="F89" s="20"/>
      <c r="G89" s="19"/>
      <c r="H89" s="19"/>
      <c r="I89" s="19"/>
      <c r="J89" s="19"/>
      <c r="K89" s="19"/>
      <c r="L89" s="19" t="s">
        <v>35</v>
      </c>
      <c r="M89" s="19" t="s">
        <v>36</v>
      </c>
      <c r="N89" s="34"/>
    </row>
    <row r="90" customFormat="1" ht="18.3" hidden="1" customHeight="1" spans="1:14">
      <c r="A90" s="18">
        <v>55</v>
      </c>
      <c r="B90" s="19" t="s">
        <v>119</v>
      </c>
      <c r="C90" s="19">
        <v>1</v>
      </c>
      <c r="D90" s="20">
        <v>0.14</v>
      </c>
      <c r="E90" s="20">
        <f t="shared" si="7"/>
        <v>0.14</v>
      </c>
      <c r="F90" s="20"/>
      <c r="G90" s="19"/>
      <c r="H90" s="19"/>
      <c r="I90" s="19"/>
      <c r="J90" s="19"/>
      <c r="K90" s="19"/>
      <c r="L90" s="19" t="s">
        <v>35</v>
      </c>
      <c r="M90" s="19" t="s">
        <v>36</v>
      </c>
      <c r="N90" s="34"/>
    </row>
    <row r="91" customFormat="1" ht="18.3" hidden="1" customHeight="1" spans="1:14">
      <c r="A91" s="18">
        <v>56</v>
      </c>
      <c r="B91" s="19" t="s">
        <v>120</v>
      </c>
      <c r="C91" s="19">
        <v>1</v>
      </c>
      <c r="D91" s="20">
        <v>0.24</v>
      </c>
      <c r="E91" s="20">
        <f t="shared" si="7"/>
        <v>0.24</v>
      </c>
      <c r="F91" s="20"/>
      <c r="G91" s="19"/>
      <c r="H91" s="19"/>
      <c r="I91" s="19"/>
      <c r="J91" s="19"/>
      <c r="K91" s="19"/>
      <c r="L91" s="19" t="s">
        <v>92</v>
      </c>
      <c r="M91" s="19" t="s">
        <v>89</v>
      </c>
      <c r="N91" s="34"/>
    </row>
    <row r="92" customFormat="1" ht="18.3" hidden="1" customHeight="1" spans="1:14">
      <c r="A92" s="18">
        <v>57</v>
      </c>
      <c r="B92" s="19" t="s">
        <v>121</v>
      </c>
      <c r="C92" s="19">
        <v>1</v>
      </c>
      <c r="D92" s="20">
        <v>0.8</v>
      </c>
      <c r="E92" s="20">
        <f t="shared" si="7"/>
        <v>0.8</v>
      </c>
      <c r="F92" s="20"/>
      <c r="G92" s="19"/>
      <c r="H92" s="19"/>
      <c r="I92" s="19"/>
      <c r="J92" s="19"/>
      <c r="K92" s="19"/>
      <c r="L92" s="19" t="s">
        <v>15</v>
      </c>
      <c r="M92" s="19" t="s">
        <v>16</v>
      </c>
      <c r="N92" s="34"/>
    </row>
    <row r="93" customFormat="1" ht="18.3" hidden="1" customHeight="1" spans="1:14">
      <c r="A93" s="18">
        <v>58</v>
      </c>
      <c r="B93" s="19" t="s">
        <v>122</v>
      </c>
      <c r="C93" s="19">
        <v>1</v>
      </c>
      <c r="D93" s="20">
        <v>0.35</v>
      </c>
      <c r="E93" s="20">
        <f t="shared" si="7"/>
        <v>0.35</v>
      </c>
      <c r="F93" s="20"/>
      <c r="G93" s="19"/>
      <c r="H93" s="19"/>
      <c r="I93" s="19"/>
      <c r="J93" s="19"/>
      <c r="K93" s="19"/>
      <c r="L93" s="19" t="s">
        <v>92</v>
      </c>
      <c r="M93" s="19" t="s">
        <v>93</v>
      </c>
      <c r="N93" s="34"/>
    </row>
    <row r="94" customFormat="1" ht="18.3" hidden="1" customHeight="1" spans="1:14">
      <c r="A94" s="18">
        <v>59</v>
      </c>
      <c r="B94" s="19" t="s">
        <v>123</v>
      </c>
      <c r="C94" s="19">
        <v>2</v>
      </c>
      <c r="D94" s="20">
        <v>20</v>
      </c>
      <c r="E94" s="20">
        <f t="shared" si="7"/>
        <v>40</v>
      </c>
      <c r="F94" s="20"/>
      <c r="G94" s="19"/>
      <c r="H94" s="19"/>
      <c r="I94" s="19"/>
      <c r="J94" s="19"/>
      <c r="K94" s="19"/>
      <c r="L94" s="19" t="s">
        <v>87</v>
      </c>
      <c r="M94" s="19" t="s">
        <v>53</v>
      </c>
      <c r="N94" s="34"/>
    </row>
    <row r="95" customFormat="1" ht="18.3" hidden="1" customHeight="1" spans="1:14">
      <c r="A95" s="18">
        <v>60</v>
      </c>
      <c r="B95" s="19" t="s">
        <v>124</v>
      </c>
      <c r="C95" s="19">
        <v>2</v>
      </c>
      <c r="D95" s="20">
        <v>23</v>
      </c>
      <c r="E95" s="20">
        <f t="shared" si="7"/>
        <v>46</v>
      </c>
      <c r="F95" s="20"/>
      <c r="G95" s="19"/>
      <c r="H95" s="19"/>
      <c r="I95" s="19"/>
      <c r="J95" s="19"/>
      <c r="K95" s="19"/>
      <c r="L95" s="19" t="s">
        <v>87</v>
      </c>
      <c r="M95" s="19" t="s">
        <v>53</v>
      </c>
      <c r="N95" s="34"/>
    </row>
    <row r="96" customFormat="1" ht="18.3" hidden="1" customHeight="1" spans="1:14">
      <c r="A96" s="18">
        <v>61</v>
      </c>
      <c r="B96" s="19" t="s">
        <v>125</v>
      </c>
      <c r="C96" s="19">
        <v>5</v>
      </c>
      <c r="D96" s="20">
        <v>6.3</v>
      </c>
      <c r="E96" s="20">
        <f t="shared" si="7"/>
        <v>31.5</v>
      </c>
      <c r="F96" s="20"/>
      <c r="G96" s="23"/>
      <c r="H96" s="23"/>
      <c r="I96" s="23"/>
      <c r="J96" s="23"/>
      <c r="K96" s="23"/>
      <c r="L96" s="23"/>
      <c r="M96" s="23"/>
      <c r="N96" s="34"/>
    </row>
    <row r="97" customFormat="1" ht="18.3" hidden="1" customHeight="1" spans="1:14">
      <c r="A97" s="18">
        <v>62</v>
      </c>
      <c r="B97" s="19" t="s">
        <v>126</v>
      </c>
      <c r="C97" s="19">
        <v>5</v>
      </c>
      <c r="D97" s="20">
        <v>1</v>
      </c>
      <c r="E97" s="20">
        <f t="shared" si="7"/>
        <v>5</v>
      </c>
      <c r="F97" s="20"/>
      <c r="G97" s="23"/>
      <c r="H97" s="23"/>
      <c r="I97" s="23"/>
      <c r="J97" s="23"/>
      <c r="K97" s="23"/>
      <c r="L97" s="23"/>
      <c r="M97" s="23"/>
      <c r="N97" s="34"/>
    </row>
    <row r="98" customFormat="1" ht="18.3" hidden="1" customHeight="1" spans="1:14">
      <c r="A98" s="18">
        <v>63</v>
      </c>
      <c r="B98" s="19" t="s">
        <v>127</v>
      </c>
      <c r="C98" s="19">
        <v>1</v>
      </c>
      <c r="D98" s="20">
        <v>0.5</v>
      </c>
      <c r="E98" s="20">
        <f t="shared" si="7"/>
        <v>0.5</v>
      </c>
      <c r="F98" s="20"/>
      <c r="G98" s="23"/>
      <c r="H98" s="23"/>
      <c r="I98" s="23"/>
      <c r="J98" s="23"/>
      <c r="K98" s="23"/>
      <c r="L98" s="23"/>
      <c r="M98" s="23"/>
      <c r="N98" s="34"/>
    </row>
    <row r="99" customFormat="1" ht="18.3" hidden="1" customHeight="1" spans="1:14">
      <c r="A99" s="18">
        <v>64</v>
      </c>
      <c r="B99" s="19" t="s">
        <v>128</v>
      </c>
      <c r="C99" s="19">
        <v>2</v>
      </c>
      <c r="D99" s="20">
        <v>0.24</v>
      </c>
      <c r="E99" s="20">
        <f t="shared" si="7"/>
        <v>0.48</v>
      </c>
      <c r="F99" s="20"/>
      <c r="G99" s="19"/>
      <c r="H99" s="19"/>
      <c r="I99" s="19"/>
      <c r="J99" s="19"/>
      <c r="K99" s="19"/>
      <c r="L99" s="19" t="s">
        <v>129</v>
      </c>
      <c r="M99" s="19" t="s">
        <v>130</v>
      </c>
      <c r="N99" s="34"/>
    </row>
    <row r="100" customFormat="1" ht="18.3" hidden="1" customHeight="1" spans="1:14">
      <c r="A100" s="18">
        <v>65</v>
      </c>
      <c r="B100" s="19" t="s">
        <v>131</v>
      </c>
      <c r="C100" s="19">
        <v>2</v>
      </c>
      <c r="D100" s="20">
        <v>0.34</v>
      </c>
      <c r="E100" s="20">
        <f t="shared" si="7"/>
        <v>0.68</v>
      </c>
      <c r="F100" s="20"/>
      <c r="G100" s="19"/>
      <c r="H100" s="19"/>
      <c r="I100" s="19"/>
      <c r="J100" s="19"/>
      <c r="K100" s="19"/>
      <c r="L100" s="19" t="s">
        <v>132</v>
      </c>
      <c r="M100" s="19" t="s">
        <v>28</v>
      </c>
      <c r="N100" s="34"/>
    </row>
    <row r="101" customFormat="1" ht="18.3" hidden="1" customHeight="1" spans="1:14">
      <c r="A101" s="18">
        <v>66</v>
      </c>
      <c r="B101" s="19" t="s">
        <v>133</v>
      </c>
      <c r="C101" s="19">
        <v>1</v>
      </c>
      <c r="D101" s="20">
        <v>0.22</v>
      </c>
      <c r="E101" s="20">
        <f t="shared" si="7"/>
        <v>0.22</v>
      </c>
      <c r="F101" s="20"/>
      <c r="G101" s="19"/>
      <c r="H101" s="19"/>
      <c r="I101" s="19"/>
      <c r="J101" s="19"/>
      <c r="K101" s="19"/>
      <c r="L101" s="19" t="s">
        <v>92</v>
      </c>
      <c r="M101" s="19" t="s">
        <v>93</v>
      </c>
      <c r="N101" s="34"/>
    </row>
    <row r="102" customFormat="1" ht="18.3" hidden="1" customHeight="1" spans="1:14">
      <c r="A102" s="18">
        <v>67</v>
      </c>
      <c r="B102" s="19" t="s">
        <v>134</v>
      </c>
      <c r="C102" s="19">
        <v>1</v>
      </c>
      <c r="D102" s="20">
        <v>45</v>
      </c>
      <c r="E102" s="20">
        <f t="shared" si="7"/>
        <v>45</v>
      </c>
      <c r="F102" s="20"/>
      <c r="G102" s="19"/>
      <c r="H102" s="19"/>
      <c r="I102" s="19"/>
      <c r="J102" s="19"/>
      <c r="K102" s="19"/>
      <c r="L102" s="19" t="s">
        <v>87</v>
      </c>
      <c r="M102" s="19" t="s">
        <v>20</v>
      </c>
      <c r="N102" s="34"/>
    </row>
    <row r="103" customFormat="1" ht="18.3" hidden="1" customHeight="1" spans="1:14">
      <c r="A103" s="18">
        <v>68</v>
      </c>
      <c r="B103" s="19" t="s">
        <v>135</v>
      </c>
      <c r="C103" s="19">
        <v>1</v>
      </c>
      <c r="D103" s="20">
        <v>8.89</v>
      </c>
      <c r="E103" s="20">
        <f t="shared" si="7"/>
        <v>8.89</v>
      </c>
      <c r="F103" s="20"/>
      <c r="G103" s="19"/>
      <c r="H103" s="19"/>
      <c r="I103" s="19"/>
      <c r="J103" s="19"/>
      <c r="K103" s="19"/>
      <c r="L103" s="19" t="s">
        <v>87</v>
      </c>
      <c r="M103" s="19" t="s">
        <v>53</v>
      </c>
      <c r="N103" s="36"/>
    </row>
    <row r="104" customFormat="1" ht="18.3" hidden="1" customHeight="1" spans="1:14">
      <c r="A104" s="18"/>
      <c r="B104" s="25" t="s">
        <v>38</v>
      </c>
      <c r="C104" s="26">
        <f>SUM(C87:C103)</f>
        <v>29</v>
      </c>
      <c r="D104" s="26"/>
      <c r="E104" s="27">
        <f>SUM(E87:E103)</f>
        <v>192.5</v>
      </c>
      <c r="F104" s="27"/>
      <c r="G104" s="23"/>
      <c r="H104" s="23"/>
      <c r="I104" s="23"/>
      <c r="J104" s="23"/>
      <c r="K104" s="23"/>
      <c r="L104" s="23"/>
      <c r="M104" s="23"/>
      <c r="N104" s="28"/>
    </row>
    <row r="105" customFormat="1" ht="18.3" hidden="1" customHeight="1" spans="1:14">
      <c r="A105" s="16" t="s">
        <v>136</v>
      </c>
      <c r="B105" s="16" t="s">
        <v>137</v>
      </c>
      <c r="C105" s="16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</row>
    <row r="106" customFormat="1" ht="18.3" hidden="1" customHeight="1" spans="1:14">
      <c r="A106" s="18">
        <v>69</v>
      </c>
      <c r="B106" s="19" t="s">
        <v>138</v>
      </c>
      <c r="C106" s="19">
        <v>11</v>
      </c>
      <c r="D106" s="20">
        <v>2</v>
      </c>
      <c r="E106" s="20">
        <f t="shared" ref="E106:E119" si="8">D106*C106</f>
        <v>22</v>
      </c>
      <c r="F106" s="20"/>
      <c r="G106" s="19"/>
      <c r="H106" s="19"/>
      <c r="I106" s="19"/>
      <c r="J106" s="19"/>
      <c r="K106" s="19"/>
      <c r="L106" s="19" t="s">
        <v>87</v>
      </c>
      <c r="M106" s="19" t="s">
        <v>53</v>
      </c>
      <c r="N106" s="33" t="s">
        <v>17</v>
      </c>
    </row>
    <row r="107" customFormat="1" ht="18.3" hidden="1" customHeight="1" spans="1:14">
      <c r="A107" s="18">
        <v>70</v>
      </c>
      <c r="B107" s="19" t="s">
        <v>139</v>
      </c>
      <c r="C107" s="19">
        <v>1</v>
      </c>
      <c r="D107" s="20">
        <v>3.25</v>
      </c>
      <c r="E107" s="20">
        <f t="shared" si="8"/>
        <v>3.25</v>
      </c>
      <c r="F107" s="20"/>
      <c r="G107" s="19"/>
      <c r="H107" s="19"/>
      <c r="I107" s="19"/>
      <c r="J107" s="19"/>
      <c r="K107" s="19"/>
      <c r="L107" s="19" t="s">
        <v>140</v>
      </c>
      <c r="M107" s="19" t="s">
        <v>141</v>
      </c>
      <c r="N107" s="34"/>
    </row>
    <row r="108" customFormat="1" ht="18.3" hidden="1" customHeight="1" spans="1:14">
      <c r="A108" s="18">
        <v>71</v>
      </c>
      <c r="B108" s="19" t="s">
        <v>142</v>
      </c>
      <c r="C108" s="19">
        <v>1</v>
      </c>
      <c r="D108" s="20">
        <v>118</v>
      </c>
      <c r="E108" s="20">
        <f t="shared" si="8"/>
        <v>118</v>
      </c>
      <c r="F108" s="20"/>
      <c r="G108" s="19"/>
      <c r="H108" s="19"/>
      <c r="I108" s="19"/>
      <c r="J108" s="19"/>
      <c r="K108" s="19"/>
      <c r="L108" s="19" t="s">
        <v>87</v>
      </c>
      <c r="M108" s="19" t="s">
        <v>53</v>
      </c>
      <c r="N108" s="34"/>
    </row>
    <row r="109" customFormat="1" ht="18.3" hidden="1" customHeight="1" spans="1:14">
      <c r="A109" s="18">
        <v>72</v>
      </c>
      <c r="B109" s="19" t="s">
        <v>143</v>
      </c>
      <c r="C109" s="19">
        <v>1</v>
      </c>
      <c r="D109" s="20">
        <v>21</v>
      </c>
      <c r="E109" s="20">
        <f t="shared" si="8"/>
        <v>21</v>
      </c>
      <c r="F109" s="20"/>
      <c r="G109" s="19"/>
      <c r="H109" s="19"/>
      <c r="I109" s="19"/>
      <c r="J109" s="19"/>
      <c r="K109" s="19"/>
      <c r="L109" s="19" t="s">
        <v>144</v>
      </c>
      <c r="M109" s="19" t="s">
        <v>145</v>
      </c>
      <c r="N109" s="36"/>
    </row>
    <row r="110" customFormat="1" ht="18.3" hidden="1" customHeight="1" spans="1:14">
      <c r="A110" s="18">
        <v>73</v>
      </c>
      <c r="B110" s="18" t="s">
        <v>146</v>
      </c>
      <c r="C110" s="18">
        <v>1</v>
      </c>
      <c r="D110" s="23">
        <v>1</v>
      </c>
      <c r="E110" s="20">
        <f t="shared" si="8"/>
        <v>1</v>
      </c>
      <c r="F110" s="20"/>
      <c r="G110" s="19"/>
      <c r="H110" s="19"/>
      <c r="I110" s="19"/>
      <c r="J110" s="19"/>
      <c r="K110" s="19"/>
      <c r="L110" s="19" t="s">
        <v>35</v>
      </c>
      <c r="M110" s="19" t="s">
        <v>36</v>
      </c>
      <c r="N110" s="21" t="s">
        <v>29</v>
      </c>
    </row>
    <row r="111" customFormat="1" ht="18.3" hidden="1" customHeight="1" spans="1:14">
      <c r="A111" s="18">
        <v>74</v>
      </c>
      <c r="B111" s="18" t="s">
        <v>147</v>
      </c>
      <c r="C111" s="18">
        <v>2</v>
      </c>
      <c r="D111" s="23">
        <v>0.36</v>
      </c>
      <c r="E111" s="20">
        <f t="shared" si="8"/>
        <v>0.72</v>
      </c>
      <c r="F111" s="20"/>
      <c r="G111" s="19"/>
      <c r="H111" s="19"/>
      <c r="I111" s="19"/>
      <c r="J111" s="19"/>
      <c r="K111" s="19"/>
      <c r="L111" s="19" t="s">
        <v>87</v>
      </c>
      <c r="M111" s="19" t="s">
        <v>53</v>
      </c>
      <c r="N111" s="22"/>
    </row>
    <row r="112" customFormat="1" ht="18.3" hidden="1" customHeight="1" spans="1:14">
      <c r="A112" s="18">
        <v>75</v>
      </c>
      <c r="B112" s="18" t="s">
        <v>148</v>
      </c>
      <c r="C112" s="18">
        <v>3</v>
      </c>
      <c r="D112" s="23">
        <v>0.25</v>
      </c>
      <c r="E112" s="20">
        <f t="shared" si="8"/>
        <v>0.75</v>
      </c>
      <c r="F112" s="20"/>
      <c r="G112" s="19"/>
      <c r="H112" s="19"/>
      <c r="I112" s="19"/>
      <c r="J112" s="19"/>
      <c r="K112" s="19"/>
      <c r="L112" s="19" t="s">
        <v>87</v>
      </c>
      <c r="M112" s="19" t="s">
        <v>53</v>
      </c>
      <c r="N112" s="22"/>
    </row>
    <row r="113" customFormat="1" ht="18.3" hidden="1" customHeight="1" spans="1:14">
      <c r="A113" s="18">
        <v>76</v>
      </c>
      <c r="B113" s="18" t="s">
        <v>149</v>
      </c>
      <c r="C113" s="18">
        <v>1</v>
      </c>
      <c r="D113" s="23">
        <v>4.5</v>
      </c>
      <c r="E113" s="20">
        <f t="shared" si="8"/>
        <v>4.5</v>
      </c>
      <c r="F113" s="20"/>
      <c r="G113" s="19"/>
      <c r="H113" s="19"/>
      <c r="I113" s="19"/>
      <c r="J113" s="19"/>
      <c r="K113" s="19"/>
      <c r="L113" s="19" t="s">
        <v>87</v>
      </c>
      <c r="M113" s="19" t="s">
        <v>20</v>
      </c>
      <c r="N113" s="22"/>
    </row>
    <row r="114" customFormat="1" ht="18.3" hidden="1" customHeight="1" spans="1:14">
      <c r="A114" s="18">
        <v>77</v>
      </c>
      <c r="B114" s="18" t="s">
        <v>150</v>
      </c>
      <c r="C114" s="18">
        <v>1</v>
      </c>
      <c r="D114" s="23">
        <v>85</v>
      </c>
      <c r="E114" s="20">
        <f t="shared" si="8"/>
        <v>85</v>
      </c>
      <c r="F114" s="20"/>
      <c r="G114" s="19"/>
      <c r="H114" s="19"/>
      <c r="I114" s="19"/>
      <c r="J114" s="19"/>
      <c r="K114" s="19"/>
      <c r="L114" s="19" t="s">
        <v>87</v>
      </c>
      <c r="M114" s="19" t="s">
        <v>53</v>
      </c>
      <c r="N114" s="22"/>
    </row>
    <row r="115" customFormat="1" ht="18.3" hidden="1" customHeight="1" spans="1:14">
      <c r="A115" s="18">
        <v>78</v>
      </c>
      <c r="B115" s="18" t="s">
        <v>151</v>
      </c>
      <c r="C115" s="18">
        <v>1</v>
      </c>
      <c r="D115" s="23">
        <v>72</v>
      </c>
      <c r="E115" s="20">
        <f t="shared" si="8"/>
        <v>72</v>
      </c>
      <c r="F115" s="20"/>
      <c r="G115" s="19"/>
      <c r="H115" s="19"/>
      <c r="I115" s="19"/>
      <c r="J115" s="19"/>
      <c r="K115" s="19"/>
      <c r="L115" s="19" t="s">
        <v>87</v>
      </c>
      <c r="M115" s="19" t="s">
        <v>53</v>
      </c>
      <c r="N115" s="22"/>
    </row>
    <row r="116" customFormat="1" ht="18.3" hidden="1" customHeight="1" spans="1:14">
      <c r="A116" s="18">
        <v>79</v>
      </c>
      <c r="B116" s="18" t="s">
        <v>152</v>
      </c>
      <c r="C116" s="18">
        <v>2</v>
      </c>
      <c r="D116" s="23">
        <v>2.05</v>
      </c>
      <c r="E116" s="20">
        <f t="shared" si="8"/>
        <v>4.1</v>
      </c>
      <c r="F116" s="20"/>
      <c r="G116" s="19"/>
      <c r="H116" s="19"/>
      <c r="I116" s="19"/>
      <c r="J116" s="19"/>
      <c r="K116" s="19"/>
      <c r="L116" s="19" t="s">
        <v>87</v>
      </c>
      <c r="M116" s="19" t="s">
        <v>53</v>
      </c>
      <c r="N116" s="22"/>
    </row>
    <row r="117" customFormat="1" ht="18.3" hidden="1" customHeight="1" spans="1:14">
      <c r="A117" s="18">
        <v>80</v>
      </c>
      <c r="B117" s="18" t="s">
        <v>153</v>
      </c>
      <c r="C117" s="18">
        <v>1</v>
      </c>
      <c r="D117" s="23">
        <v>9.01</v>
      </c>
      <c r="E117" s="20">
        <f t="shared" si="8"/>
        <v>9.01</v>
      </c>
      <c r="F117" s="20"/>
      <c r="G117" s="19"/>
      <c r="H117" s="19"/>
      <c r="I117" s="19"/>
      <c r="J117" s="19"/>
      <c r="K117" s="19"/>
      <c r="L117" s="19" t="s">
        <v>87</v>
      </c>
      <c r="M117" s="19" t="s">
        <v>53</v>
      </c>
      <c r="N117" s="22"/>
    </row>
    <row r="118" customFormat="1" ht="18.3" hidden="1" customHeight="1" spans="1:14">
      <c r="A118" s="18">
        <v>81</v>
      </c>
      <c r="B118" s="18" t="s">
        <v>154</v>
      </c>
      <c r="C118" s="18">
        <v>1</v>
      </c>
      <c r="D118" s="23">
        <v>9.83</v>
      </c>
      <c r="E118" s="20">
        <f t="shared" si="8"/>
        <v>9.83</v>
      </c>
      <c r="F118" s="20"/>
      <c r="G118" s="19"/>
      <c r="H118" s="19"/>
      <c r="I118" s="19"/>
      <c r="J118" s="19"/>
      <c r="K118" s="19"/>
      <c r="L118" s="19" t="s">
        <v>87</v>
      </c>
      <c r="M118" s="19" t="s">
        <v>53</v>
      </c>
      <c r="N118" s="22"/>
    </row>
    <row r="119" customFormat="1" ht="18.3" hidden="1" customHeight="1" spans="1:14">
      <c r="A119" s="18">
        <v>82</v>
      </c>
      <c r="B119" s="18" t="s">
        <v>155</v>
      </c>
      <c r="C119" s="18">
        <v>1</v>
      </c>
      <c r="D119" s="23">
        <v>0.67</v>
      </c>
      <c r="E119" s="20">
        <f t="shared" si="8"/>
        <v>0.67</v>
      </c>
      <c r="F119" s="20"/>
      <c r="G119" s="19"/>
      <c r="H119" s="19"/>
      <c r="I119" s="19"/>
      <c r="J119" s="19"/>
      <c r="K119" s="19"/>
      <c r="L119" s="19" t="s">
        <v>87</v>
      </c>
      <c r="M119" s="19" t="s">
        <v>53</v>
      </c>
      <c r="N119" s="22"/>
    </row>
    <row r="120" customFormat="1" ht="18.3" hidden="1" customHeight="1" spans="1:14">
      <c r="A120" s="18"/>
      <c r="B120" s="25" t="s">
        <v>38</v>
      </c>
      <c r="C120" s="26">
        <f>SUM(C106:C109)</f>
        <v>14</v>
      </c>
      <c r="D120" s="26"/>
      <c r="E120" s="27">
        <f>SUM(E106:E119)</f>
        <v>351.83</v>
      </c>
      <c r="F120" s="27"/>
      <c r="G120" s="23"/>
      <c r="H120" s="23"/>
      <c r="I120" s="23"/>
      <c r="J120" s="23"/>
      <c r="K120" s="23"/>
      <c r="L120" s="23"/>
      <c r="M120" s="23"/>
      <c r="N120" s="28"/>
    </row>
    <row r="121" customFormat="1" ht="18.3" hidden="1" customHeight="1" spans="1:14">
      <c r="A121" s="16" t="s">
        <v>156</v>
      </c>
      <c r="B121" s="16" t="s">
        <v>157</v>
      </c>
      <c r="C121" s="16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</row>
    <row r="122" customFormat="1" ht="18.3" hidden="1" customHeight="1" spans="1:14">
      <c r="A122" s="18">
        <v>83</v>
      </c>
      <c r="B122" s="19" t="s">
        <v>158</v>
      </c>
      <c r="C122" s="19">
        <v>1</v>
      </c>
      <c r="D122" s="20">
        <v>19.8</v>
      </c>
      <c r="E122" s="20">
        <v>19.8</v>
      </c>
      <c r="F122" s="20"/>
      <c r="G122" s="19"/>
      <c r="H122" s="19"/>
      <c r="I122" s="19"/>
      <c r="J122" s="19"/>
      <c r="K122" s="19"/>
      <c r="L122" s="19" t="s">
        <v>87</v>
      </c>
      <c r="M122" s="19" t="s">
        <v>159</v>
      </c>
      <c r="N122" s="33" t="s">
        <v>17</v>
      </c>
    </row>
    <row r="123" customFormat="1" ht="18.3" hidden="1" customHeight="1" spans="1:14">
      <c r="A123" s="18">
        <v>84</v>
      </c>
      <c r="B123" s="19" t="s">
        <v>158</v>
      </c>
      <c r="C123" s="19">
        <v>1</v>
      </c>
      <c r="D123" s="20">
        <v>24</v>
      </c>
      <c r="E123" s="20">
        <v>24</v>
      </c>
      <c r="F123" s="20"/>
      <c r="G123" s="19"/>
      <c r="H123" s="19"/>
      <c r="I123" s="19"/>
      <c r="J123" s="19"/>
      <c r="K123" s="19"/>
      <c r="L123" s="19" t="s">
        <v>87</v>
      </c>
      <c r="M123" s="19" t="s">
        <v>159</v>
      </c>
      <c r="N123" s="34"/>
    </row>
    <row r="124" customFormat="1" ht="18.3" hidden="1" customHeight="1" spans="1:14">
      <c r="A124" s="18">
        <v>85</v>
      </c>
      <c r="B124" s="19" t="s">
        <v>160</v>
      </c>
      <c r="C124" s="19">
        <v>1</v>
      </c>
      <c r="D124" s="20">
        <v>129.8</v>
      </c>
      <c r="E124" s="20">
        <v>129.8</v>
      </c>
      <c r="F124" s="20"/>
      <c r="G124" s="19"/>
      <c r="H124" s="19"/>
      <c r="I124" s="19"/>
      <c r="J124" s="19"/>
      <c r="K124" s="19"/>
      <c r="L124" s="19" t="s">
        <v>87</v>
      </c>
      <c r="M124" s="19" t="s">
        <v>159</v>
      </c>
      <c r="N124" s="34"/>
    </row>
    <row r="125" customFormat="1" ht="18.3" hidden="1" customHeight="1" spans="1:14">
      <c r="A125" s="18">
        <v>86</v>
      </c>
      <c r="B125" s="19" t="s">
        <v>161</v>
      </c>
      <c r="C125" s="19">
        <v>1</v>
      </c>
      <c r="D125" s="20">
        <v>84</v>
      </c>
      <c r="E125" s="20">
        <v>84</v>
      </c>
      <c r="F125" s="20"/>
      <c r="G125" s="19"/>
      <c r="H125" s="19"/>
      <c r="I125" s="19"/>
      <c r="J125" s="19"/>
      <c r="K125" s="19"/>
      <c r="L125" s="19" t="s">
        <v>87</v>
      </c>
      <c r="M125" s="19" t="s">
        <v>20</v>
      </c>
      <c r="N125" s="34"/>
    </row>
    <row r="126" customFormat="1" ht="18.3" hidden="1" customHeight="1" spans="1:14">
      <c r="A126" s="18">
        <v>87</v>
      </c>
      <c r="B126" s="19" t="s">
        <v>162</v>
      </c>
      <c r="C126" s="19">
        <v>2</v>
      </c>
      <c r="D126" s="20">
        <v>21.8</v>
      </c>
      <c r="E126" s="20">
        <v>43.6</v>
      </c>
      <c r="F126" s="20"/>
      <c r="G126" s="19"/>
      <c r="H126" s="19"/>
      <c r="I126" s="19"/>
      <c r="J126" s="19"/>
      <c r="K126" s="19"/>
      <c r="L126" s="19" t="s">
        <v>87</v>
      </c>
      <c r="M126" s="19" t="s">
        <v>159</v>
      </c>
      <c r="N126" s="34"/>
    </row>
    <row r="127" customFormat="1" ht="18.3" hidden="1" customHeight="1" spans="1:14">
      <c r="A127" s="18">
        <v>88</v>
      </c>
      <c r="B127" s="19" t="s">
        <v>163</v>
      </c>
      <c r="C127" s="19">
        <v>1</v>
      </c>
      <c r="D127" s="20">
        <v>138.5</v>
      </c>
      <c r="E127" s="20">
        <v>138.5</v>
      </c>
      <c r="F127" s="20"/>
      <c r="G127" s="19"/>
      <c r="H127" s="19"/>
      <c r="I127" s="19"/>
      <c r="J127" s="19"/>
      <c r="K127" s="19"/>
      <c r="L127" s="19" t="s">
        <v>87</v>
      </c>
      <c r="M127" s="19" t="s">
        <v>159</v>
      </c>
      <c r="N127" s="34"/>
    </row>
    <row r="128" customFormat="1" ht="18.3" hidden="1" customHeight="1" spans="1:14">
      <c r="A128" s="18">
        <v>89</v>
      </c>
      <c r="B128" s="19" t="s">
        <v>164</v>
      </c>
      <c r="C128" s="19">
        <v>1</v>
      </c>
      <c r="D128" s="20">
        <v>12</v>
      </c>
      <c r="E128" s="20">
        <v>12</v>
      </c>
      <c r="F128" s="20"/>
      <c r="G128" s="19"/>
      <c r="H128" s="19"/>
      <c r="I128" s="19"/>
      <c r="J128" s="19"/>
      <c r="K128" s="19"/>
      <c r="L128" s="19" t="s">
        <v>87</v>
      </c>
      <c r="M128" s="19" t="s">
        <v>159</v>
      </c>
      <c r="N128" s="34"/>
    </row>
    <row r="129" customFormat="1" ht="18.3" hidden="1" customHeight="1" spans="1:14">
      <c r="A129" s="18">
        <v>90</v>
      </c>
      <c r="B129" s="19" t="s">
        <v>165</v>
      </c>
      <c r="C129" s="19">
        <v>2</v>
      </c>
      <c r="D129" s="20">
        <v>8</v>
      </c>
      <c r="E129" s="20">
        <v>16</v>
      </c>
      <c r="F129" s="20"/>
      <c r="G129" s="19"/>
      <c r="H129" s="19"/>
      <c r="I129" s="19"/>
      <c r="J129" s="19"/>
      <c r="K129" s="19"/>
      <c r="L129" s="19" t="s">
        <v>166</v>
      </c>
      <c r="M129" s="19" t="s">
        <v>159</v>
      </c>
      <c r="N129" s="34"/>
    </row>
    <row r="130" customFormat="1" ht="18.3" hidden="1" customHeight="1" spans="1:14">
      <c r="A130" s="18">
        <v>91</v>
      </c>
      <c r="B130" s="19" t="s">
        <v>167</v>
      </c>
      <c r="C130" s="19">
        <v>1</v>
      </c>
      <c r="D130" s="20">
        <v>7.8</v>
      </c>
      <c r="E130" s="20">
        <v>7.8</v>
      </c>
      <c r="F130" s="20"/>
      <c r="G130" s="19"/>
      <c r="H130" s="19"/>
      <c r="I130" s="19"/>
      <c r="J130" s="19"/>
      <c r="K130" s="19"/>
      <c r="L130" s="19" t="s">
        <v>166</v>
      </c>
      <c r="M130" s="19" t="s">
        <v>159</v>
      </c>
      <c r="N130" s="34"/>
    </row>
    <row r="131" customFormat="1" ht="18.3" hidden="1" customHeight="1" spans="1:14">
      <c r="A131" s="18">
        <v>92</v>
      </c>
      <c r="B131" s="19" t="s">
        <v>168</v>
      </c>
      <c r="C131" s="19">
        <v>2</v>
      </c>
      <c r="D131" s="20">
        <v>7</v>
      </c>
      <c r="E131" s="20">
        <v>14</v>
      </c>
      <c r="F131" s="20"/>
      <c r="G131" s="19"/>
      <c r="H131" s="19"/>
      <c r="I131" s="19"/>
      <c r="J131" s="19"/>
      <c r="K131" s="19"/>
      <c r="L131" s="19" t="s">
        <v>169</v>
      </c>
      <c r="M131" s="19" t="s">
        <v>159</v>
      </c>
      <c r="N131" s="34"/>
    </row>
    <row r="132" customFormat="1" ht="18.3" hidden="1" customHeight="1" spans="1:14">
      <c r="A132" s="18">
        <v>93</v>
      </c>
      <c r="B132" s="19" t="s">
        <v>170</v>
      </c>
      <c r="C132" s="19">
        <v>1</v>
      </c>
      <c r="D132" s="20">
        <v>14.2</v>
      </c>
      <c r="E132" s="20">
        <v>14.2</v>
      </c>
      <c r="F132" s="20"/>
      <c r="G132" s="19"/>
      <c r="H132" s="19"/>
      <c r="I132" s="19"/>
      <c r="J132" s="19"/>
      <c r="K132" s="19"/>
      <c r="L132" s="19" t="s">
        <v>87</v>
      </c>
      <c r="M132" s="19" t="s">
        <v>159</v>
      </c>
      <c r="N132" s="34"/>
    </row>
    <row r="133" customFormat="1" ht="18.3" hidden="1" customHeight="1" spans="1:14">
      <c r="A133" s="18">
        <v>94</v>
      </c>
      <c r="B133" s="19" t="s">
        <v>171</v>
      </c>
      <c r="C133" s="19">
        <v>1</v>
      </c>
      <c r="D133" s="20">
        <v>0.56</v>
      </c>
      <c r="E133" s="20">
        <v>0.56</v>
      </c>
      <c r="F133" s="20"/>
      <c r="G133" s="19"/>
      <c r="H133" s="19"/>
      <c r="I133" s="19"/>
      <c r="J133" s="19"/>
      <c r="K133" s="19"/>
      <c r="L133" s="19" t="s">
        <v>92</v>
      </c>
      <c r="M133" s="19" t="s">
        <v>93</v>
      </c>
      <c r="N133" s="36"/>
    </row>
    <row r="134" customFormat="1" ht="18.3" hidden="1" customHeight="1" spans="1:14">
      <c r="A134" s="18"/>
      <c r="B134" s="25" t="s">
        <v>38</v>
      </c>
      <c r="C134" s="26">
        <f>SUM(C122:C133)</f>
        <v>15</v>
      </c>
      <c r="D134" s="26"/>
      <c r="E134" s="27">
        <f>SUM(E122:E133)</f>
        <v>504.26</v>
      </c>
      <c r="F134" s="27"/>
      <c r="G134" s="23"/>
      <c r="H134" s="23"/>
      <c r="I134" s="23"/>
      <c r="J134" s="23"/>
      <c r="K134" s="23"/>
      <c r="L134" s="23"/>
      <c r="M134" s="23"/>
      <c r="N134" s="28"/>
    </row>
    <row r="135" customFormat="1" ht="18.3" hidden="1" customHeight="1" spans="1:14">
      <c r="A135" s="16" t="s">
        <v>172</v>
      </c>
      <c r="B135" s="16" t="s">
        <v>173</v>
      </c>
      <c r="C135" s="16"/>
      <c r="D135" s="16"/>
      <c r="E135" s="17"/>
      <c r="F135" s="17"/>
      <c r="G135" s="17"/>
      <c r="H135" s="17"/>
      <c r="I135" s="17"/>
      <c r="J135" s="17"/>
      <c r="K135" s="17"/>
      <c r="L135" s="17"/>
      <c r="M135" s="17"/>
      <c r="N135" s="17"/>
    </row>
    <row r="136" customFormat="1" ht="18.3" hidden="1" customHeight="1" spans="1:14">
      <c r="A136" s="18">
        <v>95</v>
      </c>
      <c r="B136" s="19" t="s">
        <v>174</v>
      </c>
      <c r="C136" s="18">
        <v>1</v>
      </c>
      <c r="D136" s="18">
        <v>13.8</v>
      </c>
      <c r="E136" s="23">
        <f t="shared" ref="E136:E150" si="9">D136*C136</f>
        <v>13.8</v>
      </c>
      <c r="F136" s="23"/>
      <c r="G136" s="23"/>
      <c r="H136" s="23"/>
      <c r="I136" s="23"/>
      <c r="J136" s="23"/>
      <c r="K136" s="23"/>
      <c r="L136" s="23" t="s">
        <v>87</v>
      </c>
      <c r="M136" s="23" t="s">
        <v>53</v>
      </c>
      <c r="N136" s="21" t="s">
        <v>29</v>
      </c>
    </row>
    <row r="137" customFormat="1" ht="18.3" hidden="1" customHeight="1" spans="1:14">
      <c r="A137" s="18">
        <v>96</v>
      </c>
      <c r="B137" s="19" t="s">
        <v>174</v>
      </c>
      <c r="C137" s="18">
        <v>1</v>
      </c>
      <c r="D137" s="18">
        <v>13.5</v>
      </c>
      <c r="E137" s="23">
        <f t="shared" si="9"/>
        <v>13.5</v>
      </c>
      <c r="F137" s="23"/>
      <c r="G137" s="23"/>
      <c r="H137" s="23"/>
      <c r="I137" s="23"/>
      <c r="J137" s="23"/>
      <c r="K137" s="23"/>
      <c r="L137" s="23" t="s">
        <v>87</v>
      </c>
      <c r="M137" s="23" t="s">
        <v>53</v>
      </c>
      <c r="N137" s="22"/>
    </row>
    <row r="138" customFormat="1" ht="18.3" hidden="1" customHeight="1" spans="1:14">
      <c r="A138" s="18">
        <v>97</v>
      </c>
      <c r="B138" s="19" t="s">
        <v>174</v>
      </c>
      <c r="C138" s="18">
        <v>1</v>
      </c>
      <c r="D138" s="18">
        <v>13.4</v>
      </c>
      <c r="E138" s="23">
        <f t="shared" si="9"/>
        <v>13.4</v>
      </c>
      <c r="F138" s="23"/>
      <c r="G138" s="23"/>
      <c r="H138" s="23"/>
      <c r="I138" s="23"/>
      <c r="J138" s="23"/>
      <c r="K138" s="23"/>
      <c r="L138" s="23" t="s">
        <v>87</v>
      </c>
      <c r="M138" s="23" t="s">
        <v>53</v>
      </c>
      <c r="N138" s="22"/>
    </row>
    <row r="139" customFormat="1" ht="18.3" hidden="1" customHeight="1" spans="1:14">
      <c r="A139" s="18">
        <v>98</v>
      </c>
      <c r="B139" s="19" t="s">
        <v>175</v>
      </c>
      <c r="C139" s="18">
        <v>3</v>
      </c>
      <c r="D139" s="18">
        <v>1.85</v>
      </c>
      <c r="E139" s="23">
        <f t="shared" si="9"/>
        <v>5.55</v>
      </c>
      <c r="F139" s="23"/>
      <c r="G139" s="23"/>
      <c r="H139" s="23"/>
      <c r="I139" s="23"/>
      <c r="J139" s="23"/>
      <c r="K139" s="23"/>
      <c r="L139" s="23" t="s">
        <v>87</v>
      </c>
      <c r="M139" s="23" t="s">
        <v>53</v>
      </c>
      <c r="N139" s="22"/>
    </row>
    <row r="140" customFormat="1" ht="18.3" hidden="1" customHeight="1" spans="1:14">
      <c r="A140" s="18">
        <v>99</v>
      </c>
      <c r="B140" s="19" t="s">
        <v>176</v>
      </c>
      <c r="C140" s="18">
        <v>1</v>
      </c>
      <c r="D140" s="18">
        <v>66.4</v>
      </c>
      <c r="E140" s="23">
        <f t="shared" si="9"/>
        <v>66.4</v>
      </c>
      <c r="F140" s="23"/>
      <c r="G140" s="23"/>
      <c r="H140" s="23"/>
      <c r="I140" s="23"/>
      <c r="J140" s="23"/>
      <c r="K140" s="23"/>
      <c r="L140" s="23" t="s">
        <v>87</v>
      </c>
      <c r="M140" s="23" t="s">
        <v>159</v>
      </c>
      <c r="N140" s="22"/>
    </row>
    <row r="141" customFormat="1" ht="18.3" hidden="1" customHeight="1" spans="1:14">
      <c r="A141" s="18">
        <v>100</v>
      </c>
      <c r="B141" s="19" t="s">
        <v>177</v>
      </c>
      <c r="C141" s="18">
        <v>2</v>
      </c>
      <c r="D141" s="18">
        <v>13.05</v>
      </c>
      <c r="E141" s="23">
        <f t="shared" si="9"/>
        <v>26.1</v>
      </c>
      <c r="F141" s="23"/>
      <c r="G141" s="23"/>
      <c r="H141" s="23"/>
      <c r="I141" s="23"/>
      <c r="J141" s="23"/>
      <c r="K141" s="23"/>
      <c r="L141" s="23" t="s">
        <v>87</v>
      </c>
      <c r="M141" s="23" t="s">
        <v>159</v>
      </c>
      <c r="N141" s="22"/>
    </row>
    <row r="142" customFormat="1" ht="18.3" hidden="1" customHeight="1" spans="1:14">
      <c r="A142" s="18">
        <v>101</v>
      </c>
      <c r="B142" s="19" t="s">
        <v>178</v>
      </c>
      <c r="C142" s="18">
        <v>2</v>
      </c>
      <c r="D142" s="18">
        <v>43.21</v>
      </c>
      <c r="E142" s="23">
        <f t="shared" si="9"/>
        <v>86.42</v>
      </c>
      <c r="F142" s="23"/>
      <c r="G142" s="23"/>
      <c r="H142" s="23"/>
      <c r="I142" s="23"/>
      <c r="J142" s="23"/>
      <c r="K142" s="23"/>
      <c r="L142" s="23" t="s">
        <v>87</v>
      </c>
      <c r="M142" s="23" t="s">
        <v>159</v>
      </c>
      <c r="N142" s="22"/>
    </row>
    <row r="143" customFormat="1" ht="18.3" hidden="1" customHeight="1" spans="1:14">
      <c r="A143" s="18">
        <v>102</v>
      </c>
      <c r="B143" s="19" t="s">
        <v>179</v>
      </c>
      <c r="C143" s="18">
        <v>3</v>
      </c>
      <c r="D143" s="18">
        <v>1.93</v>
      </c>
      <c r="E143" s="23">
        <f t="shared" si="9"/>
        <v>5.79</v>
      </c>
      <c r="F143" s="23"/>
      <c r="G143" s="23"/>
      <c r="H143" s="23"/>
      <c r="I143" s="23"/>
      <c r="J143" s="23"/>
      <c r="K143" s="23"/>
      <c r="L143" s="23" t="s">
        <v>87</v>
      </c>
      <c r="M143" s="23" t="s">
        <v>53</v>
      </c>
      <c r="N143" s="22"/>
    </row>
    <row r="144" customFormat="1" ht="18.3" hidden="1" customHeight="1" spans="1:14">
      <c r="A144" s="18">
        <v>103</v>
      </c>
      <c r="B144" s="19" t="s">
        <v>180</v>
      </c>
      <c r="C144" s="18">
        <v>1</v>
      </c>
      <c r="D144" s="18">
        <v>1.57</v>
      </c>
      <c r="E144" s="23">
        <f t="shared" si="9"/>
        <v>1.57</v>
      </c>
      <c r="F144" s="23"/>
      <c r="G144" s="23"/>
      <c r="H144" s="23"/>
      <c r="I144" s="23"/>
      <c r="J144" s="23"/>
      <c r="K144" s="23"/>
      <c r="L144" s="23" t="s">
        <v>87</v>
      </c>
      <c r="M144" s="23" t="s">
        <v>36</v>
      </c>
      <c r="N144" s="22"/>
    </row>
    <row r="145" customFormat="1" ht="18.3" hidden="1" customHeight="1" spans="1:14">
      <c r="A145" s="18">
        <v>104</v>
      </c>
      <c r="B145" s="19" t="s">
        <v>181</v>
      </c>
      <c r="C145" s="18">
        <v>1</v>
      </c>
      <c r="D145" s="18">
        <v>0.4</v>
      </c>
      <c r="E145" s="23">
        <f t="shared" si="9"/>
        <v>0.4</v>
      </c>
      <c r="F145" s="23"/>
      <c r="G145" s="23"/>
      <c r="H145" s="23"/>
      <c r="I145" s="23"/>
      <c r="J145" s="23"/>
      <c r="K145" s="23"/>
      <c r="L145" s="23" t="s">
        <v>92</v>
      </c>
      <c r="M145" s="23" t="s">
        <v>182</v>
      </c>
      <c r="N145" s="22"/>
    </row>
    <row r="146" customFormat="1" ht="18.3" hidden="1" customHeight="1" spans="1:14">
      <c r="A146" s="18">
        <v>105</v>
      </c>
      <c r="B146" s="19" t="s">
        <v>181</v>
      </c>
      <c r="C146" s="18">
        <v>1</v>
      </c>
      <c r="D146" s="18">
        <v>0.43</v>
      </c>
      <c r="E146" s="23">
        <f t="shared" si="9"/>
        <v>0.43</v>
      </c>
      <c r="F146" s="23"/>
      <c r="G146" s="23"/>
      <c r="H146" s="23"/>
      <c r="I146" s="23"/>
      <c r="J146" s="23"/>
      <c r="K146" s="23"/>
      <c r="L146" s="23" t="s">
        <v>87</v>
      </c>
      <c r="M146" s="23" t="s">
        <v>183</v>
      </c>
      <c r="N146" s="22"/>
    </row>
    <row r="147" customFormat="1" ht="18.3" hidden="1" customHeight="1" spans="1:14">
      <c r="A147" s="18">
        <v>106</v>
      </c>
      <c r="B147" s="19" t="s">
        <v>181</v>
      </c>
      <c r="C147" s="18">
        <v>1</v>
      </c>
      <c r="D147" s="18">
        <v>0.38</v>
      </c>
      <c r="E147" s="23">
        <f t="shared" si="9"/>
        <v>0.38</v>
      </c>
      <c r="F147" s="23"/>
      <c r="G147" s="23"/>
      <c r="H147" s="23"/>
      <c r="I147" s="23"/>
      <c r="J147" s="23"/>
      <c r="K147" s="23"/>
      <c r="L147" s="23" t="s">
        <v>87</v>
      </c>
      <c r="M147" s="23" t="s">
        <v>184</v>
      </c>
      <c r="N147" s="22"/>
    </row>
    <row r="148" customFormat="1" ht="18.3" hidden="1" customHeight="1" spans="1:14">
      <c r="A148" s="18">
        <v>107</v>
      </c>
      <c r="B148" s="19" t="s">
        <v>181</v>
      </c>
      <c r="C148" s="18">
        <v>1</v>
      </c>
      <c r="D148" s="18">
        <v>0.46</v>
      </c>
      <c r="E148" s="23">
        <f t="shared" si="9"/>
        <v>0.46</v>
      </c>
      <c r="F148" s="23"/>
      <c r="G148" s="23"/>
      <c r="H148" s="23"/>
      <c r="I148" s="23"/>
      <c r="J148" s="23"/>
      <c r="K148" s="23"/>
      <c r="L148" s="23" t="s">
        <v>92</v>
      </c>
      <c r="M148" s="23" t="s">
        <v>93</v>
      </c>
      <c r="N148" s="22"/>
    </row>
    <row r="149" customFormat="1" ht="18.3" hidden="1" customHeight="1" spans="1:14">
      <c r="A149" s="18">
        <v>108</v>
      </c>
      <c r="B149" s="19" t="s">
        <v>185</v>
      </c>
      <c r="C149" s="18">
        <v>1</v>
      </c>
      <c r="D149" s="18">
        <v>11.97</v>
      </c>
      <c r="E149" s="23">
        <f t="shared" si="9"/>
        <v>11.97</v>
      </c>
      <c r="F149" s="23"/>
      <c r="G149" s="23"/>
      <c r="H149" s="23"/>
      <c r="I149" s="23"/>
      <c r="J149" s="23"/>
      <c r="K149" s="23"/>
      <c r="L149" s="23" t="s">
        <v>92</v>
      </c>
      <c r="M149" s="23" t="s">
        <v>93</v>
      </c>
      <c r="N149" s="22"/>
    </row>
    <row r="150" customFormat="1" ht="18.3" hidden="1" customHeight="1" spans="1:14">
      <c r="A150" s="18">
        <v>109</v>
      </c>
      <c r="B150" s="19" t="s">
        <v>186</v>
      </c>
      <c r="C150" s="18">
        <v>5</v>
      </c>
      <c r="D150" s="18">
        <v>64</v>
      </c>
      <c r="E150" s="23">
        <f t="shared" si="9"/>
        <v>320</v>
      </c>
      <c r="F150" s="23"/>
      <c r="G150" s="23"/>
      <c r="H150" s="23"/>
      <c r="I150" s="23"/>
      <c r="J150" s="23"/>
      <c r="K150" s="23"/>
      <c r="L150" s="23" t="s">
        <v>87</v>
      </c>
      <c r="M150" s="23" t="s">
        <v>20</v>
      </c>
      <c r="N150" s="22"/>
    </row>
    <row r="151" customFormat="1" ht="18.3" hidden="1" customHeight="1" spans="1:14">
      <c r="A151" s="25"/>
      <c r="B151" s="25" t="s">
        <v>38</v>
      </c>
      <c r="C151" s="26">
        <f>SUM(C136:C150)</f>
        <v>25</v>
      </c>
      <c r="D151" s="26"/>
      <c r="E151" s="27">
        <f>SUM(E136:E150)</f>
        <v>566.17</v>
      </c>
      <c r="F151" s="27"/>
      <c r="G151" s="25"/>
      <c r="H151" s="25"/>
      <c r="I151" s="25"/>
      <c r="J151" s="25"/>
      <c r="K151" s="25"/>
      <c r="L151" s="25"/>
      <c r="M151" s="25"/>
      <c r="N151" s="25"/>
    </row>
    <row r="152" customFormat="1" ht="30" hidden="1" customHeight="1" spans="1:14">
      <c r="A152" s="37"/>
      <c r="B152" s="38" t="s">
        <v>7</v>
      </c>
      <c r="C152" s="39">
        <f>C134+C120+C104+C85+C53+C18</f>
        <v>173</v>
      </c>
      <c r="D152" s="39"/>
      <c r="E152" s="40">
        <f>E18+E53+E85+E104+E120+E134+E151</f>
        <v>2546.4217</v>
      </c>
      <c r="F152" s="40"/>
      <c r="G152" s="41"/>
      <c r="H152" s="41"/>
      <c r="I152" s="41"/>
      <c r="J152" s="121">
        <f>E152</f>
        <v>2546.4217</v>
      </c>
      <c r="K152" s="121"/>
      <c r="L152" s="41"/>
      <c r="M152" s="41"/>
      <c r="N152" s="41"/>
    </row>
    <row r="153" customFormat="1" ht="34.2" customHeight="1" spans="1:14">
      <c r="A153" s="13" t="s">
        <v>187</v>
      </c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5"/>
    </row>
    <row r="154" ht="21.15" customHeight="1" spans="1:14">
      <c r="A154" s="16" t="s">
        <v>12</v>
      </c>
      <c r="B154" s="76" t="s">
        <v>188</v>
      </c>
      <c r="C154" s="77"/>
      <c r="D154" s="77"/>
      <c r="E154" s="78"/>
      <c r="F154" s="79" t="s">
        <v>189</v>
      </c>
      <c r="G154" s="80"/>
      <c r="H154" s="80"/>
      <c r="I154" s="80"/>
      <c r="J154" s="122"/>
      <c r="K154" s="83" t="s">
        <v>190</v>
      </c>
      <c r="L154" s="17" t="s">
        <v>191</v>
      </c>
      <c r="M154" s="17" t="s">
        <v>192</v>
      </c>
      <c r="N154" s="17" t="s">
        <v>10</v>
      </c>
    </row>
    <row r="155" customFormat="1" ht="21.15" customHeight="1" spans="1:14">
      <c r="A155" s="16"/>
      <c r="B155" s="16" t="s">
        <v>193</v>
      </c>
      <c r="C155" s="81" t="s">
        <v>5</v>
      </c>
      <c r="D155" s="82" t="s">
        <v>6</v>
      </c>
      <c r="E155" s="83" t="s">
        <v>194</v>
      </c>
      <c r="F155" s="84" t="s">
        <v>193</v>
      </c>
      <c r="G155" s="85" t="s">
        <v>195</v>
      </c>
      <c r="H155" s="85" t="s">
        <v>5</v>
      </c>
      <c r="I155" s="85" t="s">
        <v>6</v>
      </c>
      <c r="J155" s="85" t="s">
        <v>194</v>
      </c>
      <c r="K155" s="83"/>
      <c r="L155" s="17"/>
      <c r="M155" s="17"/>
      <c r="N155" s="17"/>
    </row>
    <row r="156" s="73" customFormat="1" ht="181" customHeight="1" spans="1:14">
      <c r="A156" s="86">
        <v>110</v>
      </c>
      <c r="B156" s="86" t="s">
        <v>196</v>
      </c>
      <c r="C156" s="86">
        <v>2</v>
      </c>
      <c r="D156" s="87">
        <v>11.5</v>
      </c>
      <c r="E156" s="87">
        <f t="shared" ref="E156:E164" si="10">D156*C156</f>
        <v>23</v>
      </c>
      <c r="F156" s="87" t="s">
        <v>197</v>
      </c>
      <c r="G156" s="88" t="s">
        <v>198</v>
      </c>
      <c r="H156" s="89">
        <v>2</v>
      </c>
      <c r="I156" s="123">
        <v>11.5</v>
      </c>
      <c r="J156" s="123">
        <f>H156*I156</f>
        <v>23</v>
      </c>
      <c r="K156" s="87" t="s">
        <v>199</v>
      </c>
      <c r="L156" s="87"/>
      <c r="M156" s="90" t="s">
        <v>200</v>
      </c>
      <c r="N156" s="124" t="s">
        <v>201</v>
      </c>
    </row>
    <row r="157" s="73" customFormat="1" ht="113" customHeight="1" spans="1:14">
      <c r="A157" s="86">
        <v>111</v>
      </c>
      <c r="B157" s="90" t="s">
        <v>202</v>
      </c>
      <c r="C157" s="90">
        <v>2</v>
      </c>
      <c r="D157" s="91">
        <v>44</v>
      </c>
      <c r="E157" s="87">
        <f t="shared" si="10"/>
        <v>88</v>
      </c>
      <c r="F157" s="92" t="s">
        <v>203</v>
      </c>
      <c r="G157" s="93" t="s">
        <v>204</v>
      </c>
      <c r="H157" s="94">
        <v>13</v>
      </c>
      <c r="I157" s="125">
        <v>30</v>
      </c>
      <c r="J157" s="125">
        <f>H157*I157</f>
        <v>390</v>
      </c>
      <c r="K157" s="92" t="s">
        <v>205</v>
      </c>
      <c r="L157" s="90" t="s">
        <v>206</v>
      </c>
      <c r="M157" s="90" t="s">
        <v>141</v>
      </c>
      <c r="N157" s="124" t="s">
        <v>207</v>
      </c>
    </row>
    <row r="158" s="73" customFormat="1" ht="113" customHeight="1" spans="1:14">
      <c r="A158" s="86">
        <v>112</v>
      </c>
      <c r="B158" s="90" t="s">
        <v>208</v>
      </c>
      <c r="C158" s="90">
        <v>5</v>
      </c>
      <c r="D158" s="91">
        <v>44</v>
      </c>
      <c r="E158" s="87">
        <f t="shared" si="10"/>
        <v>220</v>
      </c>
      <c r="F158" s="95"/>
      <c r="G158" s="96"/>
      <c r="H158" s="97"/>
      <c r="I158" s="126"/>
      <c r="J158" s="126"/>
      <c r="K158" s="95"/>
      <c r="L158" s="90" t="s">
        <v>92</v>
      </c>
      <c r="M158" s="90" t="s">
        <v>209</v>
      </c>
      <c r="N158" s="124" t="s">
        <v>210</v>
      </c>
    </row>
    <row r="159" s="73" customFormat="1" ht="113" customHeight="1" spans="1:14">
      <c r="A159" s="86">
        <v>113</v>
      </c>
      <c r="B159" s="90" t="s">
        <v>203</v>
      </c>
      <c r="C159" s="90">
        <v>6</v>
      </c>
      <c r="D159" s="91">
        <v>30</v>
      </c>
      <c r="E159" s="87">
        <f t="shared" si="10"/>
        <v>180</v>
      </c>
      <c r="F159" s="98"/>
      <c r="G159" s="99"/>
      <c r="H159" s="100"/>
      <c r="I159" s="127"/>
      <c r="J159" s="127"/>
      <c r="K159" s="98"/>
      <c r="L159" s="90"/>
      <c r="M159" s="90" t="s">
        <v>53</v>
      </c>
      <c r="N159" s="124" t="s">
        <v>207</v>
      </c>
    </row>
    <row r="160" s="73" customFormat="1" ht="165" customHeight="1" spans="1:14">
      <c r="A160" s="86">
        <v>114</v>
      </c>
      <c r="B160" s="90" t="s">
        <v>211</v>
      </c>
      <c r="C160" s="90">
        <v>1</v>
      </c>
      <c r="D160" s="91">
        <v>180</v>
      </c>
      <c r="E160" s="87">
        <f t="shared" si="10"/>
        <v>180</v>
      </c>
      <c r="F160" s="92" t="s">
        <v>212</v>
      </c>
      <c r="G160" s="93" t="s">
        <v>213</v>
      </c>
      <c r="H160" s="94">
        <v>2</v>
      </c>
      <c r="I160" s="125">
        <v>140</v>
      </c>
      <c r="J160" s="125">
        <f>H160*I160</f>
        <v>280</v>
      </c>
      <c r="K160" s="92" t="s">
        <v>205</v>
      </c>
      <c r="L160" s="90" t="s">
        <v>206</v>
      </c>
      <c r="M160" s="90" t="s">
        <v>141</v>
      </c>
      <c r="N160" s="124" t="s">
        <v>214</v>
      </c>
    </row>
    <row r="161" s="73" customFormat="1" ht="165" customHeight="1" spans="1:14">
      <c r="A161" s="86">
        <v>115</v>
      </c>
      <c r="B161" s="90" t="s">
        <v>215</v>
      </c>
      <c r="C161" s="90">
        <v>1</v>
      </c>
      <c r="D161" s="91">
        <v>180</v>
      </c>
      <c r="E161" s="87">
        <f t="shared" si="10"/>
        <v>180</v>
      </c>
      <c r="F161" s="98"/>
      <c r="G161" s="99"/>
      <c r="H161" s="100"/>
      <c r="I161" s="127"/>
      <c r="J161" s="127"/>
      <c r="K161" s="98"/>
      <c r="L161" s="90" t="s">
        <v>206</v>
      </c>
      <c r="M161" s="90" t="s">
        <v>141</v>
      </c>
      <c r="N161" s="124" t="s">
        <v>201</v>
      </c>
    </row>
    <row r="162" s="73" customFormat="1" ht="249" customHeight="1" spans="1:14">
      <c r="A162" s="86">
        <v>116</v>
      </c>
      <c r="B162" s="101" t="s">
        <v>216</v>
      </c>
      <c r="C162" s="90">
        <v>2</v>
      </c>
      <c r="D162" s="90">
        <v>128</v>
      </c>
      <c r="E162" s="87">
        <f t="shared" si="10"/>
        <v>256</v>
      </c>
      <c r="F162" s="87" t="s">
        <v>217</v>
      </c>
      <c r="G162" s="102" t="s">
        <v>218</v>
      </c>
      <c r="H162" s="103">
        <v>2</v>
      </c>
      <c r="I162" s="123">
        <v>125</v>
      </c>
      <c r="J162" s="123">
        <f>H162*I162</f>
        <v>250</v>
      </c>
      <c r="K162" s="87" t="s">
        <v>205</v>
      </c>
      <c r="L162" s="90" t="s">
        <v>219</v>
      </c>
      <c r="M162" s="91" t="s">
        <v>220</v>
      </c>
      <c r="N162" s="124" t="s">
        <v>221</v>
      </c>
    </row>
    <row r="163" s="73" customFormat="1" ht="370" customHeight="1" spans="1:14">
      <c r="A163" s="86">
        <v>117</v>
      </c>
      <c r="B163" s="101" t="s">
        <v>222</v>
      </c>
      <c r="C163" s="90">
        <v>2</v>
      </c>
      <c r="D163" s="90">
        <v>78</v>
      </c>
      <c r="E163" s="87">
        <f t="shared" si="10"/>
        <v>156</v>
      </c>
      <c r="F163" s="87" t="s">
        <v>223</v>
      </c>
      <c r="G163" s="99" t="s">
        <v>224</v>
      </c>
      <c r="H163" s="100">
        <v>2</v>
      </c>
      <c r="I163" s="123">
        <v>72</v>
      </c>
      <c r="J163" s="123">
        <f>H163*I163</f>
        <v>144</v>
      </c>
      <c r="K163" s="87" t="s">
        <v>199</v>
      </c>
      <c r="L163" s="90" t="s">
        <v>219</v>
      </c>
      <c r="M163" s="91" t="s">
        <v>220</v>
      </c>
      <c r="N163" s="124" t="s">
        <v>221</v>
      </c>
    </row>
    <row r="164" s="73" customFormat="1" ht="219" customHeight="1" spans="1:14">
      <c r="A164" s="86">
        <v>118</v>
      </c>
      <c r="B164" s="90" t="s">
        <v>225</v>
      </c>
      <c r="C164" s="90">
        <v>8</v>
      </c>
      <c r="D164" s="91">
        <v>5</v>
      </c>
      <c r="E164" s="87">
        <f t="shared" si="10"/>
        <v>40</v>
      </c>
      <c r="F164" s="90" t="s">
        <v>225</v>
      </c>
      <c r="G164" s="104" t="s">
        <v>226</v>
      </c>
      <c r="H164" s="105">
        <v>8</v>
      </c>
      <c r="I164" s="123">
        <v>1.5</v>
      </c>
      <c r="J164" s="123">
        <f>H164*I164</f>
        <v>12</v>
      </c>
      <c r="K164" s="87" t="s">
        <v>227</v>
      </c>
      <c r="L164" s="87"/>
      <c r="M164" s="87"/>
      <c r="N164" s="124" t="s">
        <v>201</v>
      </c>
    </row>
    <row r="165" s="74" customFormat="1" ht="21.15" customHeight="1" spans="1:14">
      <c r="A165" s="18"/>
      <c r="B165" s="25" t="s">
        <v>38</v>
      </c>
      <c r="C165" s="26">
        <f>SUM(C156:C164)</f>
        <v>29</v>
      </c>
      <c r="D165" s="26"/>
      <c r="E165" s="27">
        <f>SUM(E156:E164)</f>
        <v>1323</v>
      </c>
      <c r="F165" s="27" t="s">
        <v>38</v>
      </c>
      <c r="G165" s="106"/>
      <c r="H165" s="106">
        <f>SUM(H156:H164)</f>
        <v>29</v>
      </c>
      <c r="I165" s="128"/>
      <c r="J165" s="129">
        <f>SUM(J156:J164)</f>
        <v>1099</v>
      </c>
      <c r="K165" s="130"/>
      <c r="L165" s="23"/>
      <c r="M165" s="23"/>
      <c r="N165" s="131"/>
    </row>
    <row r="166" customFormat="1" ht="21.15" customHeight="1" spans="1:14">
      <c r="A166" s="16" t="s">
        <v>39</v>
      </c>
      <c r="B166" s="16" t="s">
        <v>40</v>
      </c>
      <c r="C166" s="16"/>
      <c r="D166" s="17"/>
      <c r="E166" s="17"/>
      <c r="F166" s="17"/>
      <c r="G166" s="107"/>
      <c r="H166" s="107"/>
      <c r="I166" s="132"/>
      <c r="J166" s="132"/>
      <c r="K166" s="17"/>
      <c r="L166" s="17"/>
      <c r="M166" s="17"/>
      <c r="N166" s="17"/>
    </row>
    <row r="167" customFormat="1" ht="47" customHeight="1" spans="1:14">
      <c r="A167" s="86">
        <v>119</v>
      </c>
      <c r="B167" s="90" t="s">
        <v>228</v>
      </c>
      <c r="C167" s="91">
        <v>1</v>
      </c>
      <c r="D167" s="91">
        <v>1.3</v>
      </c>
      <c r="E167" s="91">
        <v>1.3</v>
      </c>
      <c r="F167" s="90" t="s">
        <v>228</v>
      </c>
      <c r="G167" s="104" t="s">
        <v>229</v>
      </c>
      <c r="H167" s="105">
        <v>1</v>
      </c>
      <c r="I167" s="133">
        <v>1.3</v>
      </c>
      <c r="J167" s="123">
        <f>H167*I167</f>
        <v>1.3</v>
      </c>
      <c r="K167" s="87" t="s">
        <v>199</v>
      </c>
      <c r="L167" s="90" t="s">
        <v>87</v>
      </c>
      <c r="M167" s="90" t="s">
        <v>230</v>
      </c>
      <c r="N167" s="124" t="s">
        <v>231</v>
      </c>
    </row>
    <row r="168" customFormat="1" ht="21.15" customHeight="1" spans="1:14">
      <c r="A168" s="18"/>
      <c r="B168" s="25" t="s">
        <v>38</v>
      </c>
      <c r="C168" s="25">
        <f>SUM(C167)</f>
        <v>1</v>
      </c>
      <c r="D168" s="25"/>
      <c r="E168" s="49">
        <f>SUM(E167)</f>
        <v>1.3</v>
      </c>
      <c r="F168" s="49" t="s">
        <v>38</v>
      </c>
      <c r="G168" s="108"/>
      <c r="H168" s="108">
        <f>SUM(H167)</f>
        <v>1</v>
      </c>
      <c r="I168" s="134"/>
      <c r="J168" s="135">
        <f>SUM(J167:J167)</f>
        <v>1.3</v>
      </c>
      <c r="K168" s="136"/>
      <c r="L168" s="20"/>
      <c r="M168" s="20"/>
      <c r="N168" s="28"/>
    </row>
    <row r="169" ht="21.15" customHeight="1" spans="1:14">
      <c r="A169" s="16" t="s">
        <v>81</v>
      </c>
      <c r="B169" s="16" t="s">
        <v>82</v>
      </c>
      <c r="C169" s="17"/>
      <c r="D169" s="17"/>
      <c r="E169" s="17"/>
      <c r="F169" s="17"/>
      <c r="G169" s="107"/>
      <c r="H169" s="107"/>
      <c r="I169" s="132"/>
      <c r="J169" s="132"/>
      <c r="K169" s="17"/>
      <c r="L169" s="17"/>
      <c r="M169" s="17"/>
      <c r="N169" s="17"/>
    </row>
    <row r="170" s="73" customFormat="1" ht="108" customHeight="1" spans="1:14">
      <c r="A170" s="86">
        <v>120</v>
      </c>
      <c r="B170" s="109" t="s">
        <v>232</v>
      </c>
      <c r="C170" s="86">
        <v>9</v>
      </c>
      <c r="D170" s="87">
        <v>25</v>
      </c>
      <c r="E170" s="87">
        <f t="shared" ref="E170:E180" si="11">D170*C170</f>
        <v>225</v>
      </c>
      <c r="F170" s="110" t="s">
        <v>233</v>
      </c>
      <c r="G170" s="111" t="s">
        <v>234</v>
      </c>
      <c r="H170" s="89">
        <v>9</v>
      </c>
      <c r="I170" s="133">
        <v>13.8</v>
      </c>
      <c r="J170" s="123">
        <f>H170*I170</f>
        <v>124.2</v>
      </c>
      <c r="K170" s="87" t="s">
        <v>227</v>
      </c>
      <c r="L170" s="90"/>
      <c r="M170" s="90" t="s">
        <v>235</v>
      </c>
      <c r="N170" s="124" t="s">
        <v>201</v>
      </c>
    </row>
    <row r="171" s="73" customFormat="1" ht="108" customHeight="1" spans="1:14">
      <c r="A171" s="86">
        <v>121</v>
      </c>
      <c r="B171" s="109" t="s">
        <v>236</v>
      </c>
      <c r="C171" s="86">
        <v>2</v>
      </c>
      <c r="D171" s="87">
        <v>6</v>
      </c>
      <c r="E171" s="87">
        <f t="shared" si="11"/>
        <v>12</v>
      </c>
      <c r="F171" s="112"/>
      <c r="G171" s="113" t="s">
        <v>237</v>
      </c>
      <c r="H171" s="89">
        <v>2</v>
      </c>
      <c r="I171" s="133">
        <v>6.5</v>
      </c>
      <c r="J171" s="123">
        <f>H171*I171</f>
        <v>13</v>
      </c>
      <c r="K171" s="87" t="s">
        <v>238</v>
      </c>
      <c r="L171" s="137"/>
      <c r="M171" s="90" t="s">
        <v>220</v>
      </c>
      <c r="N171" s="124" t="s">
        <v>239</v>
      </c>
    </row>
    <row r="172" s="73" customFormat="1" ht="53" customHeight="1" spans="1:14">
      <c r="A172" s="86">
        <v>122</v>
      </c>
      <c r="B172" s="90" t="s">
        <v>240</v>
      </c>
      <c r="C172" s="90">
        <v>10</v>
      </c>
      <c r="D172" s="91">
        <v>3</v>
      </c>
      <c r="E172" s="87">
        <f t="shared" si="11"/>
        <v>30</v>
      </c>
      <c r="F172" s="92" t="s">
        <v>241</v>
      </c>
      <c r="G172" s="93" t="s">
        <v>242</v>
      </c>
      <c r="H172" s="94">
        <v>11</v>
      </c>
      <c r="I172" s="138">
        <v>3.5</v>
      </c>
      <c r="J172" s="125">
        <f>H172*I172</f>
        <v>38.5</v>
      </c>
      <c r="K172" s="92" t="s">
        <v>238</v>
      </c>
      <c r="L172" s="90" t="s">
        <v>87</v>
      </c>
      <c r="M172" s="90" t="s">
        <v>53</v>
      </c>
      <c r="N172" s="124" t="s">
        <v>201</v>
      </c>
    </row>
    <row r="173" s="73" customFormat="1" ht="53" customHeight="1" spans="1:14">
      <c r="A173" s="86">
        <v>123</v>
      </c>
      <c r="B173" s="90" t="s">
        <v>240</v>
      </c>
      <c r="C173" s="90">
        <v>1</v>
      </c>
      <c r="D173" s="91">
        <v>3</v>
      </c>
      <c r="E173" s="87">
        <f t="shared" si="11"/>
        <v>3</v>
      </c>
      <c r="F173" s="98"/>
      <c r="G173" s="99"/>
      <c r="H173" s="100"/>
      <c r="I173" s="139"/>
      <c r="J173" s="127"/>
      <c r="K173" s="98"/>
      <c r="L173" s="90" t="s">
        <v>206</v>
      </c>
      <c r="M173" s="90" t="s">
        <v>141</v>
      </c>
      <c r="N173" s="124" t="s">
        <v>243</v>
      </c>
    </row>
    <row r="174" s="73" customFormat="1" ht="103.7" customHeight="1" spans="1:14">
      <c r="A174" s="86">
        <v>124</v>
      </c>
      <c r="B174" s="90" t="s">
        <v>244</v>
      </c>
      <c r="C174" s="90">
        <v>1</v>
      </c>
      <c r="D174" s="91">
        <v>4</v>
      </c>
      <c r="E174" s="87">
        <f t="shared" si="11"/>
        <v>4</v>
      </c>
      <c r="F174" s="90" t="s">
        <v>245</v>
      </c>
      <c r="G174" s="104" t="s">
        <v>246</v>
      </c>
      <c r="H174" s="105">
        <v>1</v>
      </c>
      <c r="I174" s="133">
        <v>4</v>
      </c>
      <c r="J174" s="123">
        <f t="shared" ref="J174:J180" si="12">H174*I174</f>
        <v>4</v>
      </c>
      <c r="K174" s="87" t="s">
        <v>199</v>
      </c>
      <c r="L174" s="90" t="s">
        <v>219</v>
      </c>
      <c r="M174" s="90" t="s">
        <v>220</v>
      </c>
      <c r="N174" s="124" t="s">
        <v>201</v>
      </c>
    </row>
    <row r="175" s="73" customFormat="1" ht="104.15" customHeight="1" spans="1:14">
      <c r="A175" s="86">
        <v>125</v>
      </c>
      <c r="B175" s="90" t="s">
        <v>247</v>
      </c>
      <c r="C175" s="90">
        <v>2</v>
      </c>
      <c r="D175" s="91">
        <v>8</v>
      </c>
      <c r="E175" s="87">
        <f t="shared" si="11"/>
        <v>16</v>
      </c>
      <c r="F175" s="90" t="s">
        <v>245</v>
      </c>
      <c r="G175" s="104" t="s">
        <v>248</v>
      </c>
      <c r="H175" s="105">
        <v>2</v>
      </c>
      <c r="I175" s="133">
        <v>8</v>
      </c>
      <c r="J175" s="123">
        <f t="shared" si="12"/>
        <v>16</v>
      </c>
      <c r="K175" s="87" t="s">
        <v>199</v>
      </c>
      <c r="L175" s="90" t="s">
        <v>206</v>
      </c>
      <c r="M175" s="90" t="s">
        <v>141</v>
      </c>
      <c r="N175" s="124" t="s">
        <v>239</v>
      </c>
    </row>
    <row r="176" s="73" customFormat="1" ht="163" customHeight="1" spans="1:14">
      <c r="A176" s="86">
        <v>126</v>
      </c>
      <c r="B176" s="90" t="s">
        <v>249</v>
      </c>
      <c r="C176" s="90">
        <v>1</v>
      </c>
      <c r="D176" s="91">
        <v>8</v>
      </c>
      <c r="E176" s="87">
        <f t="shared" si="11"/>
        <v>8</v>
      </c>
      <c r="F176" s="90" t="s">
        <v>249</v>
      </c>
      <c r="G176" s="104" t="s">
        <v>250</v>
      </c>
      <c r="H176" s="105">
        <v>1</v>
      </c>
      <c r="I176" s="133">
        <v>8</v>
      </c>
      <c r="J176" s="123">
        <f t="shared" si="12"/>
        <v>8</v>
      </c>
      <c r="K176" s="87" t="s">
        <v>199</v>
      </c>
      <c r="L176" s="90" t="s">
        <v>219</v>
      </c>
      <c r="M176" s="90" t="s">
        <v>220</v>
      </c>
      <c r="N176" s="124" t="s">
        <v>201</v>
      </c>
    </row>
    <row r="177" s="73" customFormat="1" ht="48" customHeight="1" spans="1:14">
      <c r="A177" s="86">
        <v>127</v>
      </c>
      <c r="B177" s="86" t="s">
        <v>251</v>
      </c>
      <c r="C177" s="86">
        <v>1</v>
      </c>
      <c r="D177" s="87">
        <v>2</v>
      </c>
      <c r="E177" s="87">
        <f t="shared" si="11"/>
        <v>2</v>
      </c>
      <c r="F177" s="86" t="s">
        <v>252</v>
      </c>
      <c r="G177" s="88" t="s">
        <v>253</v>
      </c>
      <c r="H177" s="89">
        <v>1</v>
      </c>
      <c r="I177" s="133">
        <v>2</v>
      </c>
      <c r="J177" s="123">
        <f t="shared" si="12"/>
        <v>2</v>
      </c>
      <c r="K177" s="87" t="s">
        <v>199</v>
      </c>
      <c r="L177" s="90"/>
      <c r="M177" s="90" t="s">
        <v>93</v>
      </c>
      <c r="N177" s="124" t="s">
        <v>207</v>
      </c>
    </row>
    <row r="178" s="73" customFormat="1" ht="88.05" customHeight="1" spans="1:14">
      <c r="A178" s="86">
        <v>128</v>
      </c>
      <c r="B178" s="86" t="s">
        <v>254</v>
      </c>
      <c r="C178" s="86">
        <v>1</v>
      </c>
      <c r="D178" s="87">
        <v>6</v>
      </c>
      <c r="E178" s="87">
        <f t="shared" si="11"/>
        <v>6</v>
      </c>
      <c r="F178" s="86" t="s">
        <v>255</v>
      </c>
      <c r="G178" s="114" t="s">
        <v>256</v>
      </c>
      <c r="H178" s="89">
        <v>1</v>
      </c>
      <c r="I178" s="133">
        <v>6</v>
      </c>
      <c r="J178" s="123">
        <f t="shared" si="12"/>
        <v>6</v>
      </c>
      <c r="K178" s="87" t="s">
        <v>199</v>
      </c>
      <c r="L178" s="140"/>
      <c r="M178" s="90" t="s">
        <v>22</v>
      </c>
      <c r="N178" s="141" t="s">
        <v>257</v>
      </c>
    </row>
    <row r="179" s="73" customFormat="1" ht="48" customHeight="1" spans="1:14">
      <c r="A179" s="86">
        <v>129</v>
      </c>
      <c r="B179" s="86" t="s">
        <v>258</v>
      </c>
      <c r="C179" s="86">
        <v>1</v>
      </c>
      <c r="D179" s="87">
        <v>8</v>
      </c>
      <c r="E179" s="87">
        <f t="shared" si="11"/>
        <v>8</v>
      </c>
      <c r="F179" s="86" t="s">
        <v>259</v>
      </c>
      <c r="G179" s="88" t="s">
        <v>260</v>
      </c>
      <c r="H179" s="89">
        <v>1</v>
      </c>
      <c r="I179" s="133">
        <v>8</v>
      </c>
      <c r="J179" s="123">
        <f t="shared" si="12"/>
        <v>8</v>
      </c>
      <c r="K179" s="87" t="s">
        <v>199</v>
      </c>
      <c r="L179" s="90" t="s">
        <v>206</v>
      </c>
      <c r="M179" s="90" t="s">
        <v>141</v>
      </c>
      <c r="N179" s="124" t="s">
        <v>214</v>
      </c>
    </row>
    <row r="180" s="73" customFormat="1" ht="48" customHeight="1" spans="1:14">
      <c r="A180" s="86">
        <v>130</v>
      </c>
      <c r="B180" s="86" t="s">
        <v>261</v>
      </c>
      <c r="C180" s="86">
        <v>2</v>
      </c>
      <c r="D180" s="87">
        <v>8</v>
      </c>
      <c r="E180" s="87">
        <f t="shared" si="11"/>
        <v>16</v>
      </c>
      <c r="F180" s="86" t="s">
        <v>262</v>
      </c>
      <c r="G180" s="88" t="s">
        <v>263</v>
      </c>
      <c r="H180" s="89">
        <v>2</v>
      </c>
      <c r="I180" s="133">
        <v>8</v>
      </c>
      <c r="J180" s="123">
        <f t="shared" si="12"/>
        <v>16</v>
      </c>
      <c r="K180" s="87" t="s">
        <v>199</v>
      </c>
      <c r="L180" s="90" t="s">
        <v>219</v>
      </c>
      <c r="M180" s="90" t="s">
        <v>220</v>
      </c>
      <c r="N180" s="124" t="s">
        <v>239</v>
      </c>
    </row>
    <row r="181" ht="21.15" customHeight="1" spans="1:14">
      <c r="A181" s="18"/>
      <c r="B181" s="25" t="s">
        <v>38</v>
      </c>
      <c r="C181" s="25">
        <f>SUM(C170:C180)</f>
        <v>31</v>
      </c>
      <c r="D181" s="25"/>
      <c r="E181" s="49">
        <f>SUM(E170:E180)</f>
        <v>330</v>
      </c>
      <c r="F181" s="49" t="s">
        <v>38</v>
      </c>
      <c r="G181" s="108"/>
      <c r="H181" s="108">
        <f>SUM(H170:H180)</f>
        <v>31</v>
      </c>
      <c r="I181" s="134"/>
      <c r="J181" s="129">
        <f>SUM(J170:J180)</f>
        <v>235.7</v>
      </c>
      <c r="K181" s="130"/>
      <c r="L181" s="23"/>
      <c r="M181" s="23"/>
      <c r="N181" s="28"/>
    </row>
    <row r="182" ht="21.15" customHeight="1" spans="1:14">
      <c r="A182" s="16" t="s">
        <v>113</v>
      </c>
      <c r="B182" s="16" t="s">
        <v>114</v>
      </c>
      <c r="C182" s="16"/>
      <c r="D182" s="17"/>
      <c r="E182" s="17"/>
      <c r="F182" s="17"/>
      <c r="G182" s="107"/>
      <c r="H182" s="107"/>
      <c r="I182" s="132"/>
      <c r="J182" s="132"/>
      <c r="K182" s="17"/>
      <c r="L182" s="17"/>
      <c r="M182" s="17"/>
      <c r="N182" s="17"/>
    </row>
    <row r="183" ht="43" customHeight="1" spans="1:14">
      <c r="A183" s="86">
        <v>131</v>
      </c>
      <c r="B183" s="90" t="s">
        <v>264</v>
      </c>
      <c r="C183" s="90">
        <v>1</v>
      </c>
      <c r="D183" s="91">
        <v>1.5</v>
      </c>
      <c r="E183" s="91">
        <f t="shared" ref="E183:E192" si="13">D183*C183</f>
        <v>1.5</v>
      </c>
      <c r="F183" s="91" t="s">
        <v>265</v>
      </c>
      <c r="G183" s="104" t="s">
        <v>266</v>
      </c>
      <c r="H183" s="105">
        <v>1</v>
      </c>
      <c r="I183" s="133">
        <v>1.5</v>
      </c>
      <c r="J183" s="123">
        <f>I183*H183</f>
        <v>1.5</v>
      </c>
      <c r="K183" s="87" t="s">
        <v>199</v>
      </c>
      <c r="L183" s="90" t="s">
        <v>87</v>
      </c>
      <c r="M183" s="90" t="s">
        <v>267</v>
      </c>
      <c r="N183" s="124" t="s">
        <v>201</v>
      </c>
    </row>
    <row r="184" ht="24" hidden="1" customHeight="1" spans="1:14">
      <c r="A184" s="115">
        <v>132</v>
      </c>
      <c r="B184" s="115" t="s">
        <v>117</v>
      </c>
      <c r="C184" s="115">
        <v>4</v>
      </c>
      <c r="D184" s="116">
        <v>9</v>
      </c>
      <c r="E184" s="116">
        <f t="shared" si="13"/>
        <v>36</v>
      </c>
      <c r="F184" s="116" t="s">
        <v>52</v>
      </c>
      <c r="G184" s="117"/>
      <c r="H184" s="117">
        <v>0</v>
      </c>
      <c r="I184" s="142">
        <v>9</v>
      </c>
      <c r="J184" s="142">
        <f t="shared" ref="J184:J193" si="14">I184*H184</f>
        <v>0</v>
      </c>
      <c r="K184" s="116" t="s">
        <v>268</v>
      </c>
      <c r="L184" s="115" t="s">
        <v>87</v>
      </c>
      <c r="M184" s="115" t="s">
        <v>53</v>
      </c>
      <c r="N184" s="143" t="s">
        <v>269</v>
      </c>
    </row>
    <row r="185" ht="132" customHeight="1" spans="1:14">
      <c r="A185" s="86">
        <v>133</v>
      </c>
      <c r="B185" s="90" t="s">
        <v>270</v>
      </c>
      <c r="C185" s="90">
        <v>2</v>
      </c>
      <c r="D185" s="91">
        <v>7</v>
      </c>
      <c r="E185" s="91">
        <f t="shared" si="13"/>
        <v>14</v>
      </c>
      <c r="F185" s="91" t="s">
        <v>271</v>
      </c>
      <c r="G185" s="104" t="s">
        <v>272</v>
      </c>
      <c r="H185" s="105">
        <v>1</v>
      </c>
      <c r="I185" s="133">
        <v>7</v>
      </c>
      <c r="J185" s="123">
        <f t="shared" si="14"/>
        <v>7</v>
      </c>
      <c r="K185" s="87" t="s">
        <v>273</v>
      </c>
      <c r="L185" s="90" t="s">
        <v>87</v>
      </c>
      <c r="M185" s="90" t="s">
        <v>53</v>
      </c>
      <c r="N185" s="124" t="s">
        <v>274</v>
      </c>
    </row>
    <row r="186" ht="43" customHeight="1" spans="1:14">
      <c r="A186" s="86">
        <v>134</v>
      </c>
      <c r="B186" s="90" t="s">
        <v>275</v>
      </c>
      <c r="C186" s="90">
        <v>2</v>
      </c>
      <c r="D186" s="91">
        <v>20</v>
      </c>
      <c r="E186" s="91">
        <f t="shared" si="13"/>
        <v>40</v>
      </c>
      <c r="F186" s="90" t="s">
        <v>276</v>
      </c>
      <c r="G186" s="104" t="s">
        <v>277</v>
      </c>
      <c r="H186" s="105">
        <v>2</v>
      </c>
      <c r="I186" s="133">
        <v>25</v>
      </c>
      <c r="J186" s="123">
        <f t="shared" si="14"/>
        <v>50</v>
      </c>
      <c r="K186" s="87" t="s">
        <v>199</v>
      </c>
      <c r="L186" s="90"/>
      <c r="M186" s="90" t="s">
        <v>20</v>
      </c>
      <c r="N186" s="124" t="s">
        <v>207</v>
      </c>
    </row>
    <row r="187" ht="43" customHeight="1" spans="1:14">
      <c r="A187" s="86">
        <v>135</v>
      </c>
      <c r="B187" s="90" t="s">
        <v>278</v>
      </c>
      <c r="C187" s="90">
        <v>8</v>
      </c>
      <c r="D187" s="90">
        <v>0.5</v>
      </c>
      <c r="E187" s="91">
        <f t="shared" si="13"/>
        <v>4</v>
      </c>
      <c r="F187" s="90" t="s">
        <v>276</v>
      </c>
      <c r="G187" s="104" t="s">
        <v>279</v>
      </c>
      <c r="H187" s="105">
        <v>8</v>
      </c>
      <c r="I187" s="133">
        <v>0.5</v>
      </c>
      <c r="J187" s="123">
        <f t="shared" si="14"/>
        <v>4</v>
      </c>
      <c r="K187" s="87" t="s">
        <v>199</v>
      </c>
      <c r="L187" s="90"/>
      <c r="M187" s="90" t="s">
        <v>280</v>
      </c>
      <c r="N187" s="124" t="s">
        <v>207</v>
      </c>
    </row>
    <row r="188" ht="120" spans="1:14">
      <c r="A188" s="86">
        <v>136</v>
      </c>
      <c r="B188" s="90" t="s">
        <v>281</v>
      </c>
      <c r="C188" s="90">
        <v>5</v>
      </c>
      <c r="D188" s="90">
        <v>8</v>
      </c>
      <c r="E188" s="91">
        <f t="shared" si="13"/>
        <v>40</v>
      </c>
      <c r="F188" s="90" t="s">
        <v>282</v>
      </c>
      <c r="G188" s="104" t="s">
        <v>283</v>
      </c>
      <c r="H188" s="105">
        <v>5</v>
      </c>
      <c r="I188" s="133">
        <v>8</v>
      </c>
      <c r="J188" s="123">
        <f t="shared" si="14"/>
        <v>40</v>
      </c>
      <c r="K188" s="87" t="s">
        <v>199</v>
      </c>
      <c r="L188" s="90"/>
      <c r="M188" s="90" t="s">
        <v>53</v>
      </c>
      <c r="N188" s="124" t="s">
        <v>201</v>
      </c>
    </row>
    <row r="189" ht="0.2" hidden="1" customHeight="1" spans="1:14">
      <c r="A189" s="115">
        <v>137</v>
      </c>
      <c r="B189" s="118" t="s">
        <v>284</v>
      </c>
      <c r="C189" s="118">
        <v>5</v>
      </c>
      <c r="D189" s="118">
        <v>12</v>
      </c>
      <c r="E189" s="119">
        <f t="shared" si="13"/>
        <v>60</v>
      </c>
      <c r="F189" s="118" t="s">
        <v>284</v>
      </c>
      <c r="G189" s="120"/>
      <c r="H189" s="120">
        <v>0</v>
      </c>
      <c r="I189" s="144">
        <v>12</v>
      </c>
      <c r="J189" s="142">
        <f t="shared" si="14"/>
        <v>0</v>
      </c>
      <c r="K189" s="116" t="s">
        <v>285</v>
      </c>
      <c r="L189" s="118" t="s">
        <v>87</v>
      </c>
      <c r="M189" s="118" t="s">
        <v>53</v>
      </c>
      <c r="N189" s="145" t="s">
        <v>201</v>
      </c>
    </row>
    <row r="190" ht="43" customHeight="1" spans="1:14">
      <c r="A190" s="86">
        <v>138</v>
      </c>
      <c r="B190" s="90" t="s">
        <v>286</v>
      </c>
      <c r="C190" s="90">
        <v>1</v>
      </c>
      <c r="D190" s="90">
        <v>8.5</v>
      </c>
      <c r="E190" s="91">
        <f t="shared" si="13"/>
        <v>8.5</v>
      </c>
      <c r="F190" s="90" t="s">
        <v>287</v>
      </c>
      <c r="G190" s="104" t="s">
        <v>288</v>
      </c>
      <c r="H190" s="105">
        <v>1</v>
      </c>
      <c r="I190" s="133">
        <v>8.5</v>
      </c>
      <c r="J190" s="123">
        <f t="shared" si="14"/>
        <v>8.5</v>
      </c>
      <c r="K190" s="87" t="s">
        <v>199</v>
      </c>
      <c r="L190" s="90" t="s">
        <v>166</v>
      </c>
      <c r="M190" s="90" t="s">
        <v>289</v>
      </c>
      <c r="N190" s="124" t="s">
        <v>201</v>
      </c>
    </row>
    <row r="191" ht="43" customHeight="1" spans="1:14">
      <c r="A191" s="86">
        <v>139</v>
      </c>
      <c r="B191" s="90" t="s">
        <v>290</v>
      </c>
      <c r="C191" s="90">
        <v>1</v>
      </c>
      <c r="D191" s="91">
        <v>3.2</v>
      </c>
      <c r="E191" s="91">
        <f t="shared" si="13"/>
        <v>3.2</v>
      </c>
      <c r="F191" s="90" t="s">
        <v>291</v>
      </c>
      <c r="G191" s="104" t="s">
        <v>292</v>
      </c>
      <c r="H191" s="105">
        <v>1</v>
      </c>
      <c r="I191" s="133">
        <v>3.2</v>
      </c>
      <c r="J191" s="123">
        <f t="shared" si="14"/>
        <v>3.2</v>
      </c>
      <c r="K191" s="87" t="s">
        <v>199</v>
      </c>
      <c r="L191" s="90" t="s">
        <v>293</v>
      </c>
      <c r="M191" s="90" t="s">
        <v>267</v>
      </c>
      <c r="N191" s="124" t="s">
        <v>201</v>
      </c>
    </row>
    <row r="192" ht="43" customHeight="1" spans="1:14">
      <c r="A192" s="86">
        <v>140</v>
      </c>
      <c r="B192" s="90" t="s">
        <v>294</v>
      </c>
      <c r="C192" s="90">
        <v>1</v>
      </c>
      <c r="D192" s="91">
        <v>2</v>
      </c>
      <c r="E192" s="91">
        <f t="shared" si="13"/>
        <v>2</v>
      </c>
      <c r="F192" s="90" t="s">
        <v>295</v>
      </c>
      <c r="G192" s="104" t="s">
        <v>296</v>
      </c>
      <c r="H192" s="105">
        <v>1</v>
      </c>
      <c r="I192" s="133">
        <v>2</v>
      </c>
      <c r="J192" s="123">
        <f t="shared" si="14"/>
        <v>2</v>
      </c>
      <c r="K192" s="87" t="s">
        <v>199</v>
      </c>
      <c r="L192" s="90" t="s">
        <v>219</v>
      </c>
      <c r="M192" s="90" t="s">
        <v>220</v>
      </c>
      <c r="N192" s="124" t="s">
        <v>201</v>
      </c>
    </row>
    <row r="193" ht="141.1" customHeight="1" spans="1:14">
      <c r="A193" s="86"/>
      <c r="B193" s="90" t="s">
        <v>297</v>
      </c>
      <c r="C193" s="90">
        <v>0</v>
      </c>
      <c r="D193" s="91">
        <v>0</v>
      </c>
      <c r="E193" s="91">
        <v>0</v>
      </c>
      <c r="F193" s="90" t="s">
        <v>297</v>
      </c>
      <c r="G193" s="104" t="s">
        <v>298</v>
      </c>
      <c r="H193" s="105">
        <v>1</v>
      </c>
      <c r="I193" s="133">
        <v>36</v>
      </c>
      <c r="J193" s="123">
        <f t="shared" si="14"/>
        <v>36</v>
      </c>
      <c r="K193" s="87" t="s">
        <v>199</v>
      </c>
      <c r="L193" s="90"/>
      <c r="M193" s="90" t="s">
        <v>299</v>
      </c>
      <c r="N193" s="124" t="s">
        <v>207</v>
      </c>
    </row>
    <row r="194" ht="21.15" customHeight="1" spans="1:14">
      <c r="A194" s="18"/>
      <c r="B194" s="25" t="s">
        <v>38</v>
      </c>
      <c r="C194" s="25">
        <f>SUM(C183:C192)</f>
        <v>30</v>
      </c>
      <c r="D194" s="25"/>
      <c r="E194" s="49">
        <f>SUM(E183:E192)</f>
        <v>209.2</v>
      </c>
      <c r="F194" s="49" t="s">
        <v>38</v>
      </c>
      <c r="G194" s="108"/>
      <c r="H194" s="108">
        <f>SUM(H183:H192)</f>
        <v>20</v>
      </c>
      <c r="I194" s="134"/>
      <c r="J194" s="129">
        <f>SUM(J183:J193)</f>
        <v>152.2</v>
      </c>
      <c r="K194" s="130"/>
      <c r="L194" s="23"/>
      <c r="M194" s="23"/>
      <c r="N194" s="28"/>
    </row>
    <row r="195" ht="21.15" customHeight="1" spans="1:14">
      <c r="A195" s="16" t="s">
        <v>136</v>
      </c>
      <c r="B195" s="16" t="s">
        <v>137</v>
      </c>
      <c r="C195" s="16"/>
      <c r="D195" s="17"/>
      <c r="E195" s="17"/>
      <c r="F195" s="17"/>
      <c r="G195" s="107"/>
      <c r="H195" s="107"/>
      <c r="I195" s="132"/>
      <c r="J195" s="132"/>
      <c r="K195" s="17"/>
      <c r="L195" s="17"/>
      <c r="M195" s="17"/>
      <c r="N195" s="17"/>
    </row>
    <row r="196" ht="47" customHeight="1" spans="1:14">
      <c r="A196" s="86">
        <v>141</v>
      </c>
      <c r="B196" s="90" t="s">
        <v>300</v>
      </c>
      <c r="C196" s="90">
        <v>20</v>
      </c>
      <c r="D196" s="91">
        <v>3</v>
      </c>
      <c r="E196" s="91">
        <f t="shared" ref="E196:E202" si="15">D196*C196</f>
        <v>60</v>
      </c>
      <c r="F196" s="90" t="s">
        <v>301</v>
      </c>
      <c r="G196" s="104" t="s">
        <v>302</v>
      </c>
      <c r="H196" s="105">
        <v>20</v>
      </c>
      <c r="I196" s="133">
        <v>3</v>
      </c>
      <c r="J196" s="123">
        <f t="shared" ref="J196:J202" si="16">I196*H196</f>
        <v>60</v>
      </c>
      <c r="K196" s="87" t="s">
        <v>199</v>
      </c>
      <c r="L196" s="90" t="s">
        <v>140</v>
      </c>
      <c r="M196" s="90" t="s">
        <v>303</v>
      </c>
      <c r="N196" s="124" t="s">
        <v>201</v>
      </c>
    </row>
    <row r="197" ht="47" customHeight="1" spans="1:14">
      <c r="A197" s="86">
        <v>142</v>
      </c>
      <c r="B197" s="90" t="s">
        <v>304</v>
      </c>
      <c r="C197" s="90">
        <v>10</v>
      </c>
      <c r="D197" s="91">
        <v>4.5</v>
      </c>
      <c r="E197" s="91">
        <f t="shared" si="15"/>
        <v>45</v>
      </c>
      <c r="F197" s="91" t="s">
        <v>301</v>
      </c>
      <c r="G197" s="104" t="s">
        <v>305</v>
      </c>
      <c r="H197" s="105">
        <v>10</v>
      </c>
      <c r="I197" s="133">
        <v>4.5</v>
      </c>
      <c r="J197" s="123">
        <f t="shared" si="16"/>
        <v>45</v>
      </c>
      <c r="K197" s="87" t="s">
        <v>199</v>
      </c>
      <c r="L197" s="90" t="s">
        <v>87</v>
      </c>
      <c r="M197" s="90" t="s">
        <v>53</v>
      </c>
      <c r="N197" s="124" t="s">
        <v>207</v>
      </c>
    </row>
    <row r="198" ht="47" customHeight="1" spans="1:14">
      <c r="A198" s="86">
        <v>143</v>
      </c>
      <c r="B198" s="90" t="s">
        <v>306</v>
      </c>
      <c r="C198" s="90">
        <v>2</v>
      </c>
      <c r="D198" s="91">
        <v>8</v>
      </c>
      <c r="E198" s="91">
        <f t="shared" si="15"/>
        <v>16</v>
      </c>
      <c r="F198" s="91" t="s">
        <v>301</v>
      </c>
      <c r="G198" s="104" t="s">
        <v>307</v>
      </c>
      <c r="H198" s="105">
        <v>2</v>
      </c>
      <c r="I198" s="133">
        <v>8</v>
      </c>
      <c r="J198" s="123">
        <f t="shared" si="16"/>
        <v>16</v>
      </c>
      <c r="K198" s="87" t="s">
        <v>199</v>
      </c>
      <c r="L198" s="90" t="s">
        <v>140</v>
      </c>
      <c r="M198" s="90" t="s">
        <v>141</v>
      </c>
      <c r="N198" s="141" t="s">
        <v>239</v>
      </c>
    </row>
    <row r="199" ht="47" customHeight="1" spans="1:14">
      <c r="A199" s="86">
        <v>144</v>
      </c>
      <c r="B199" s="90" t="s">
        <v>308</v>
      </c>
      <c r="C199" s="90">
        <v>2</v>
      </c>
      <c r="D199" s="91">
        <v>4</v>
      </c>
      <c r="E199" s="91">
        <f t="shared" si="15"/>
        <v>8</v>
      </c>
      <c r="F199" s="90" t="s">
        <v>301</v>
      </c>
      <c r="G199" s="104" t="s">
        <v>309</v>
      </c>
      <c r="H199" s="105">
        <v>2</v>
      </c>
      <c r="I199" s="133">
        <v>4</v>
      </c>
      <c r="J199" s="123">
        <f t="shared" si="16"/>
        <v>8</v>
      </c>
      <c r="K199" s="87" t="s">
        <v>199</v>
      </c>
      <c r="L199" s="90" t="s">
        <v>144</v>
      </c>
      <c r="M199" s="90" t="s">
        <v>220</v>
      </c>
      <c r="N199" s="141" t="s">
        <v>310</v>
      </c>
    </row>
    <row r="200" ht="185" customHeight="1" spans="1:14">
      <c r="A200" s="86">
        <v>145</v>
      </c>
      <c r="B200" s="90" t="s">
        <v>311</v>
      </c>
      <c r="C200" s="90">
        <v>2</v>
      </c>
      <c r="D200" s="90">
        <v>76</v>
      </c>
      <c r="E200" s="91">
        <f t="shared" si="15"/>
        <v>152</v>
      </c>
      <c r="F200" s="90" t="s">
        <v>312</v>
      </c>
      <c r="G200" s="104" t="s">
        <v>313</v>
      </c>
      <c r="H200" s="105">
        <v>2</v>
      </c>
      <c r="I200" s="133">
        <v>62</v>
      </c>
      <c r="J200" s="123">
        <f t="shared" si="16"/>
        <v>124</v>
      </c>
      <c r="K200" s="87" t="s">
        <v>199</v>
      </c>
      <c r="L200" s="90" t="s">
        <v>87</v>
      </c>
      <c r="M200" s="90" t="s">
        <v>159</v>
      </c>
      <c r="N200" s="124" t="s">
        <v>201</v>
      </c>
    </row>
    <row r="201" ht="26" hidden="1" customHeight="1" spans="1:14">
      <c r="A201" s="115">
        <v>146</v>
      </c>
      <c r="B201" s="118" t="s">
        <v>314</v>
      </c>
      <c r="C201" s="118">
        <v>1</v>
      </c>
      <c r="D201" s="118">
        <v>70</v>
      </c>
      <c r="E201" s="119">
        <f t="shared" si="15"/>
        <v>70</v>
      </c>
      <c r="F201" s="118" t="s">
        <v>314</v>
      </c>
      <c r="G201" s="120"/>
      <c r="H201" s="120">
        <v>0</v>
      </c>
      <c r="I201" s="144">
        <v>70</v>
      </c>
      <c r="J201" s="142">
        <f t="shared" si="16"/>
        <v>0</v>
      </c>
      <c r="K201" s="116" t="s">
        <v>285</v>
      </c>
      <c r="L201" s="118" t="s">
        <v>87</v>
      </c>
      <c r="M201" s="118" t="s">
        <v>53</v>
      </c>
      <c r="N201" s="145" t="s">
        <v>201</v>
      </c>
    </row>
    <row r="202" ht="47" customHeight="1" spans="1:14">
      <c r="A202" s="86">
        <v>147</v>
      </c>
      <c r="B202" s="90" t="s">
        <v>315</v>
      </c>
      <c r="C202" s="90">
        <v>5</v>
      </c>
      <c r="D202" s="91">
        <v>7</v>
      </c>
      <c r="E202" s="91">
        <f t="shared" si="15"/>
        <v>35</v>
      </c>
      <c r="F202" s="91" t="s">
        <v>316</v>
      </c>
      <c r="G202" s="104" t="s">
        <v>317</v>
      </c>
      <c r="H202" s="105">
        <v>5</v>
      </c>
      <c r="I202" s="133">
        <v>7</v>
      </c>
      <c r="J202" s="123">
        <f t="shared" si="16"/>
        <v>35</v>
      </c>
      <c r="K202" s="87" t="s">
        <v>199</v>
      </c>
      <c r="L202" s="90" t="s">
        <v>144</v>
      </c>
      <c r="M202" s="90" t="s">
        <v>145</v>
      </c>
      <c r="N202" s="124" t="s">
        <v>201</v>
      </c>
    </row>
    <row r="203" ht="21.15" customHeight="1" spans="1:14">
      <c r="A203" s="18"/>
      <c r="B203" s="25" t="s">
        <v>38</v>
      </c>
      <c r="C203" s="25">
        <f>SUM(C196:C202)</f>
        <v>42</v>
      </c>
      <c r="D203" s="25"/>
      <c r="E203" s="49">
        <f>SUM(E196:E202)</f>
        <v>386</v>
      </c>
      <c r="F203" s="49" t="s">
        <v>38</v>
      </c>
      <c r="G203" s="108"/>
      <c r="H203" s="108">
        <f>SUM(H196:H202)</f>
        <v>41</v>
      </c>
      <c r="I203" s="134"/>
      <c r="J203" s="129">
        <f>SUM(J196:J202)</f>
        <v>288</v>
      </c>
      <c r="K203" s="130"/>
      <c r="L203" s="23"/>
      <c r="M203" s="23"/>
      <c r="N203" s="28"/>
    </row>
    <row r="204" customFormat="1" ht="21.15" customHeight="1" spans="1:14">
      <c r="A204" s="16" t="s">
        <v>156</v>
      </c>
      <c r="B204" s="16" t="s">
        <v>157</v>
      </c>
      <c r="C204" s="16"/>
      <c r="D204" s="17"/>
      <c r="E204" s="17"/>
      <c r="F204" s="17"/>
      <c r="G204" s="107"/>
      <c r="H204" s="107"/>
      <c r="I204" s="132"/>
      <c r="J204" s="132"/>
      <c r="K204" s="17"/>
      <c r="L204" s="17"/>
      <c r="M204" s="17"/>
      <c r="N204" s="17"/>
    </row>
    <row r="205" ht="36" customHeight="1" spans="1:14">
      <c r="A205" s="86">
        <v>148</v>
      </c>
      <c r="B205" s="90" t="s">
        <v>318</v>
      </c>
      <c r="C205" s="90">
        <v>1</v>
      </c>
      <c r="D205" s="91">
        <v>22</v>
      </c>
      <c r="E205" s="91">
        <f t="shared" ref="E205:E215" si="17">D205*C205</f>
        <v>22</v>
      </c>
      <c r="F205" s="90" t="s">
        <v>318</v>
      </c>
      <c r="G205" s="104" t="s">
        <v>319</v>
      </c>
      <c r="H205" s="105">
        <v>1</v>
      </c>
      <c r="I205" s="133">
        <v>22</v>
      </c>
      <c r="J205" s="123">
        <f>I205*H205</f>
        <v>22</v>
      </c>
      <c r="K205" s="87" t="s">
        <v>199</v>
      </c>
      <c r="L205" s="90" t="s">
        <v>87</v>
      </c>
      <c r="M205" s="90" t="s">
        <v>209</v>
      </c>
      <c r="N205" s="124" t="s">
        <v>243</v>
      </c>
    </row>
    <row r="206" ht="232" customHeight="1" spans="1:14">
      <c r="A206" s="86">
        <v>149</v>
      </c>
      <c r="B206" s="90" t="s">
        <v>320</v>
      </c>
      <c r="C206" s="90">
        <v>1</v>
      </c>
      <c r="D206" s="91">
        <v>138</v>
      </c>
      <c r="E206" s="91">
        <f t="shared" si="17"/>
        <v>138</v>
      </c>
      <c r="F206" s="91" t="s">
        <v>321</v>
      </c>
      <c r="G206" s="104" t="s">
        <v>322</v>
      </c>
      <c r="H206" s="105">
        <v>1</v>
      </c>
      <c r="I206" s="133">
        <v>138</v>
      </c>
      <c r="J206" s="123">
        <f t="shared" ref="J206:J216" si="18">I206*H206</f>
        <v>138</v>
      </c>
      <c r="K206" s="87" t="s">
        <v>199</v>
      </c>
      <c r="L206" s="90" t="s">
        <v>140</v>
      </c>
      <c r="M206" s="90" t="s">
        <v>141</v>
      </c>
      <c r="N206" s="124" t="s">
        <v>201</v>
      </c>
    </row>
    <row r="207" ht="191" customHeight="1" spans="1:14">
      <c r="A207" s="86">
        <v>150</v>
      </c>
      <c r="B207" s="90" t="s">
        <v>323</v>
      </c>
      <c r="C207" s="90">
        <v>1</v>
      </c>
      <c r="D207" s="91">
        <v>14.76</v>
      </c>
      <c r="E207" s="91">
        <f t="shared" si="17"/>
        <v>14.76</v>
      </c>
      <c r="F207" s="91" t="s">
        <v>324</v>
      </c>
      <c r="G207" s="104" t="s">
        <v>325</v>
      </c>
      <c r="H207" s="105">
        <v>1</v>
      </c>
      <c r="I207" s="133">
        <v>14.76</v>
      </c>
      <c r="J207" s="123">
        <f t="shared" si="18"/>
        <v>14.76</v>
      </c>
      <c r="K207" s="87" t="s">
        <v>199</v>
      </c>
      <c r="L207" s="90" t="s">
        <v>140</v>
      </c>
      <c r="M207" s="90" t="s">
        <v>141</v>
      </c>
      <c r="N207" s="124" t="s">
        <v>201</v>
      </c>
    </row>
    <row r="208" ht="36" customHeight="1" spans="1:14">
      <c r="A208" s="86">
        <v>151</v>
      </c>
      <c r="B208" s="90" t="s">
        <v>326</v>
      </c>
      <c r="C208" s="90">
        <v>2</v>
      </c>
      <c r="D208" s="91">
        <v>16</v>
      </c>
      <c r="E208" s="91">
        <f t="shared" si="17"/>
        <v>32</v>
      </c>
      <c r="F208" s="90" t="s">
        <v>327</v>
      </c>
      <c r="G208" s="104" t="s">
        <v>328</v>
      </c>
      <c r="H208" s="105">
        <v>2</v>
      </c>
      <c r="I208" s="133">
        <v>16</v>
      </c>
      <c r="J208" s="123">
        <f t="shared" si="18"/>
        <v>32</v>
      </c>
      <c r="K208" s="87" t="s">
        <v>199</v>
      </c>
      <c r="L208" s="90" t="s">
        <v>329</v>
      </c>
      <c r="M208" s="90" t="s">
        <v>330</v>
      </c>
      <c r="N208" s="124" t="s">
        <v>201</v>
      </c>
    </row>
    <row r="209" ht="36" customHeight="1" spans="1:14">
      <c r="A209" s="86">
        <v>152</v>
      </c>
      <c r="B209" s="90" t="s">
        <v>331</v>
      </c>
      <c r="C209" s="124">
        <v>2</v>
      </c>
      <c r="D209" s="146">
        <v>12</v>
      </c>
      <c r="E209" s="91">
        <f t="shared" si="17"/>
        <v>24</v>
      </c>
      <c r="F209" s="90" t="s">
        <v>332</v>
      </c>
      <c r="G209" s="147" t="s">
        <v>333</v>
      </c>
      <c r="H209" s="148">
        <v>2</v>
      </c>
      <c r="I209" s="164">
        <v>12</v>
      </c>
      <c r="J209" s="123">
        <f t="shared" si="18"/>
        <v>24</v>
      </c>
      <c r="K209" s="87" t="s">
        <v>199</v>
      </c>
      <c r="L209" s="124" t="s">
        <v>144</v>
      </c>
      <c r="M209" s="124" t="s">
        <v>220</v>
      </c>
      <c r="N209" s="124" t="s">
        <v>334</v>
      </c>
    </row>
    <row r="210" ht="36" customHeight="1" spans="1:14">
      <c r="A210" s="86">
        <v>153</v>
      </c>
      <c r="B210" s="90" t="s">
        <v>335</v>
      </c>
      <c r="C210" s="90">
        <v>1</v>
      </c>
      <c r="D210" s="91">
        <v>0.5</v>
      </c>
      <c r="E210" s="91">
        <f t="shared" si="17"/>
        <v>0.5</v>
      </c>
      <c r="F210" s="90" t="s">
        <v>336</v>
      </c>
      <c r="G210" s="104" t="s">
        <v>337</v>
      </c>
      <c r="H210" s="105">
        <v>1</v>
      </c>
      <c r="I210" s="133">
        <v>0.5</v>
      </c>
      <c r="J210" s="123">
        <f t="shared" si="18"/>
        <v>0.5</v>
      </c>
      <c r="K210" s="87" t="s">
        <v>199</v>
      </c>
      <c r="L210" s="90" t="s">
        <v>338</v>
      </c>
      <c r="M210" s="90" t="s">
        <v>289</v>
      </c>
      <c r="N210" s="124" t="s">
        <v>207</v>
      </c>
    </row>
    <row r="211" ht="36" customHeight="1" spans="1:14">
      <c r="A211" s="86">
        <v>154</v>
      </c>
      <c r="B211" s="90" t="s">
        <v>339</v>
      </c>
      <c r="C211" s="90">
        <v>1</v>
      </c>
      <c r="D211" s="91">
        <v>0.4</v>
      </c>
      <c r="E211" s="91">
        <f t="shared" si="17"/>
        <v>0.4</v>
      </c>
      <c r="F211" s="90" t="s">
        <v>340</v>
      </c>
      <c r="G211" s="104" t="s">
        <v>341</v>
      </c>
      <c r="H211" s="105">
        <v>1</v>
      </c>
      <c r="I211" s="133">
        <v>0.4</v>
      </c>
      <c r="J211" s="123">
        <f t="shared" si="18"/>
        <v>0.4</v>
      </c>
      <c r="K211" s="87" t="s">
        <v>199</v>
      </c>
      <c r="L211" s="90" t="s">
        <v>338</v>
      </c>
      <c r="M211" s="90" t="s">
        <v>289</v>
      </c>
      <c r="N211" s="124" t="s">
        <v>207</v>
      </c>
    </row>
    <row r="212" s="75" customFormat="1" ht="36" customHeight="1" spans="1:14">
      <c r="A212" s="86">
        <v>155</v>
      </c>
      <c r="B212" s="90" t="s">
        <v>342</v>
      </c>
      <c r="C212" s="90">
        <v>1</v>
      </c>
      <c r="D212" s="91">
        <v>2</v>
      </c>
      <c r="E212" s="91">
        <f t="shared" si="17"/>
        <v>2</v>
      </c>
      <c r="F212" s="90" t="s">
        <v>342</v>
      </c>
      <c r="G212" s="104" t="s">
        <v>319</v>
      </c>
      <c r="H212" s="105">
        <v>1</v>
      </c>
      <c r="I212" s="133">
        <v>2</v>
      </c>
      <c r="J212" s="123">
        <f t="shared" si="18"/>
        <v>2</v>
      </c>
      <c r="K212" s="87" t="s">
        <v>199</v>
      </c>
      <c r="L212" s="90" t="s">
        <v>92</v>
      </c>
      <c r="M212" s="90" t="s">
        <v>93</v>
      </c>
      <c r="N212" s="124" t="s">
        <v>207</v>
      </c>
    </row>
    <row r="213" s="75" customFormat="1" ht="36" customHeight="1" spans="1:14">
      <c r="A213" s="86">
        <v>156</v>
      </c>
      <c r="B213" s="90" t="s">
        <v>343</v>
      </c>
      <c r="C213" s="90">
        <v>1</v>
      </c>
      <c r="D213" s="91">
        <v>0.8</v>
      </c>
      <c r="E213" s="91">
        <f t="shared" si="17"/>
        <v>0.8</v>
      </c>
      <c r="F213" s="90" t="s">
        <v>343</v>
      </c>
      <c r="G213" s="104" t="s">
        <v>319</v>
      </c>
      <c r="H213" s="105">
        <v>1</v>
      </c>
      <c r="I213" s="133">
        <v>0.8</v>
      </c>
      <c r="J213" s="123">
        <f t="shared" si="18"/>
        <v>0.8</v>
      </c>
      <c r="K213" s="87" t="s">
        <v>199</v>
      </c>
      <c r="L213" s="90" t="s">
        <v>87</v>
      </c>
      <c r="M213" s="90" t="s">
        <v>267</v>
      </c>
      <c r="N213" s="124" t="s">
        <v>207</v>
      </c>
    </row>
    <row r="214" ht="36" customHeight="1" spans="1:14">
      <c r="A214" s="86">
        <v>157</v>
      </c>
      <c r="B214" s="90" t="s">
        <v>344</v>
      </c>
      <c r="C214" s="90">
        <v>2</v>
      </c>
      <c r="D214" s="91">
        <v>4.7</v>
      </c>
      <c r="E214" s="91">
        <f t="shared" si="17"/>
        <v>9.4</v>
      </c>
      <c r="F214" s="90" t="s">
        <v>344</v>
      </c>
      <c r="G214" s="114" t="s">
        <v>345</v>
      </c>
      <c r="H214" s="105">
        <v>2</v>
      </c>
      <c r="I214" s="133">
        <v>4.7</v>
      </c>
      <c r="J214" s="123">
        <f t="shared" si="18"/>
        <v>9.4</v>
      </c>
      <c r="K214" s="87" t="s">
        <v>199</v>
      </c>
      <c r="L214" s="90" t="s">
        <v>22</v>
      </c>
      <c r="M214" s="90" t="s">
        <v>22</v>
      </c>
      <c r="N214" s="124" t="s">
        <v>207</v>
      </c>
    </row>
    <row r="215" ht="335.65" customHeight="1" spans="1:14">
      <c r="A215" s="86">
        <v>158</v>
      </c>
      <c r="B215" s="90" t="s">
        <v>346</v>
      </c>
      <c r="C215" s="86">
        <v>14</v>
      </c>
      <c r="D215" s="86">
        <v>43.1</v>
      </c>
      <c r="E215" s="91">
        <f t="shared" si="17"/>
        <v>603.4</v>
      </c>
      <c r="F215" s="90" t="s">
        <v>347</v>
      </c>
      <c r="G215" s="88" t="s">
        <v>348</v>
      </c>
      <c r="H215" s="89">
        <v>4</v>
      </c>
      <c r="I215" s="123">
        <v>77.8</v>
      </c>
      <c r="J215" s="123">
        <f t="shared" si="18"/>
        <v>311.2</v>
      </c>
      <c r="K215" s="87" t="s">
        <v>349</v>
      </c>
      <c r="L215" s="90" t="s">
        <v>350</v>
      </c>
      <c r="M215" s="90" t="s">
        <v>351</v>
      </c>
      <c r="N215" s="124" t="s">
        <v>201</v>
      </c>
    </row>
    <row r="216" customFormat="1" ht="246.95" customHeight="1" spans="1:14">
      <c r="A216" s="86"/>
      <c r="B216" s="90" t="s">
        <v>352</v>
      </c>
      <c r="C216" s="86"/>
      <c r="D216" s="86"/>
      <c r="E216" s="91"/>
      <c r="F216" s="90" t="s">
        <v>352</v>
      </c>
      <c r="G216" s="88" t="s">
        <v>353</v>
      </c>
      <c r="H216" s="89">
        <v>1</v>
      </c>
      <c r="I216" s="123">
        <v>100</v>
      </c>
      <c r="J216" s="123">
        <f t="shared" si="18"/>
        <v>100</v>
      </c>
      <c r="K216" s="87" t="s">
        <v>199</v>
      </c>
      <c r="L216" s="90"/>
      <c r="M216" s="90" t="s">
        <v>354</v>
      </c>
      <c r="N216" s="124"/>
    </row>
    <row r="217" s="74" customFormat="1" ht="21.15" customHeight="1" spans="1:14">
      <c r="A217" s="18"/>
      <c r="B217" s="25" t="s">
        <v>38</v>
      </c>
      <c r="C217" s="26">
        <f>SUM(C205:C214)</f>
        <v>13</v>
      </c>
      <c r="D217" s="26"/>
      <c r="E217" s="27">
        <f>SUM(E205:E215)</f>
        <v>847.26</v>
      </c>
      <c r="F217" s="27" t="s">
        <v>38</v>
      </c>
      <c r="G217" s="106"/>
      <c r="H217" s="106">
        <f>SUM(H205:H214)</f>
        <v>13</v>
      </c>
      <c r="I217" s="128"/>
      <c r="J217" s="129">
        <f>SUM(J205:J216)</f>
        <v>655.06</v>
      </c>
      <c r="K217" s="130"/>
      <c r="L217" s="23"/>
      <c r="M217" s="23"/>
      <c r="N217" s="131"/>
    </row>
    <row r="218" ht="21.15" customHeight="1" spans="1:14">
      <c r="A218" s="16" t="s">
        <v>172</v>
      </c>
      <c r="B218" s="16" t="s">
        <v>173</v>
      </c>
      <c r="C218" s="16"/>
      <c r="D218" s="17"/>
      <c r="E218" s="17"/>
      <c r="F218" s="17"/>
      <c r="G218" s="107"/>
      <c r="H218" s="107"/>
      <c r="I218" s="132"/>
      <c r="J218" s="132"/>
      <c r="K218" s="17"/>
      <c r="L218" s="17"/>
      <c r="M218" s="17"/>
      <c r="N218" s="17"/>
    </row>
    <row r="219" ht="48" customHeight="1" spans="1:14">
      <c r="A219" s="86">
        <v>159</v>
      </c>
      <c r="B219" s="90" t="s">
        <v>355</v>
      </c>
      <c r="C219" s="149">
        <v>1</v>
      </c>
      <c r="D219" s="150">
        <v>3</v>
      </c>
      <c r="E219" s="150">
        <f t="shared" ref="E219:E222" si="19">C219*D219</f>
        <v>3</v>
      </c>
      <c r="F219" s="90">
        <v>2304</v>
      </c>
      <c r="G219" s="151" t="s">
        <v>356</v>
      </c>
      <c r="H219" s="151">
        <v>1</v>
      </c>
      <c r="I219" s="165">
        <v>3</v>
      </c>
      <c r="J219" s="123">
        <f>I219*H219</f>
        <v>3</v>
      </c>
      <c r="K219" s="87" t="s">
        <v>199</v>
      </c>
      <c r="L219" s="149" t="s">
        <v>144</v>
      </c>
      <c r="M219" s="149" t="s">
        <v>220</v>
      </c>
      <c r="N219" s="124" t="s">
        <v>207</v>
      </c>
    </row>
    <row r="220" ht="48" customHeight="1" spans="1:14">
      <c r="A220" s="86">
        <v>160</v>
      </c>
      <c r="B220" s="149" t="s">
        <v>357</v>
      </c>
      <c r="C220" s="149">
        <v>2</v>
      </c>
      <c r="D220" s="150">
        <v>1.75</v>
      </c>
      <c r="E220" s="87">
        <f t="shared" si="19"/>
        <v>3.5</v>
      </c>
      <c r="F220" s="149" t="s">
        <v>357</v>
      </c>
      <c r="G220" s="152" t="s">
        <v>358</v>
      </c>
      <c r="H220" s="151">
        <v>2</v>
      </c>
      <c r="I220" s="165">
        <v>1.75</v>
      </c>
      <c r="J220" s="123">
        <f>I220*H220</f>
        <v>3.5</v>
      </c>
      <c r="K220" s="87" t="s">
        <v>199</v>
      </c>
      <c r="L220" s="149"/>
      <c r="M220" s="149"/>
      <c r="N220" s="141" t="s">
        <v>359</v>
      </c>
    </row>
    <row r="221" ht="48" customHeight="1" spans="1:14">
      <c r="A221" s="86">
        <v>161</v>
      </c>
      <c r="B221" s="149" t="s">
        <v>181</v>
      </c>
      <c r="C221" s="149">
        <v>1</v>
      </c>
      <c r="D221" s="150">
        <v>0.5</v>
      </c>
      <c r="E221" s="150">
        <f t="shared" si="19"/>
        <v>0.5</v>
      </c>
      <c r="F221" s="149" t="s">
        <v>181</v>
      </c>
      <c r="G221" s="151" t="s">
        <v>319</v>
      </c>
      <c r="H221" s="151">
        <v>1</v>
      </c>
      <c r="I221" s="165">
        <v>0.5</v>
      </c>
      <c r="J221" s="123">
        <f>I221*H221</f>
        <v>0.5</v>
      </c>
      <c r="K221" s="87" t="s">
        <v>199</v>
      </c>
      <c r="L221" s="149"/>
      <c r="M221" s="149" t="s">
        <v>267</v>
      </c>
      <c r="N221" s="124" t="s">
        <v>214</v>
      </c>
    </row>
    <row r="222" ht="48" customHeight="1" spans="1:14">
      <c r="A222" s="86">
        <v>162</v>
      </c>
      <c r="B222" s="149" t="s">
        <v>360</v>
      </c>
      <c r="C222" s="149">
        <v>1</v>
      </c>
      <c r="D222" s="150">
        <v>0.5</v>
      </c>
      <c r="E222" s="150">
        <f t="shared" si="19"/>
        <v>0.5</v>
      </c>
      <c r="F222" s="149" t="s">
        <v>360</v>
      </c>
      <c r="G222" s="151" t="s">
        <v>319</v>
      </c>
      <c r="H222" s="151">
        <v>1</v>
      </c>
      <c r="I222" s="165">
        <v>0.5</v>
      </c>
      <c r="J222" s="123">
        <f>I222*H222</f>
        <v>0.5</v>
      </c>
      <c r="K222" s="87" t="s">
        <v>199</v>
      </c>
      <c r="L222" s="149" t="s">
        <v>140</v>
      </c>
      <c r="M222" s="149" t="s">
        <v>141</v>
      </c>
      <c r="N222" s="124" t="s">
        <v>207</v>
      </c>
    </row>
    <row r="223" ht="21.15" customHeight="1" spans="1:14">
      <c r="A223" s="19"/>
      <c r="B223" s="25" t="s">
        <v>38</v>
      </c>
      <c r="C223" s="25">
        <f>SUM(C219:C222)</f>
        <v>5</v>
      </c>
      <c r="D223" s="25"/>
      <c r="E223" s="49">
        <f>SUM(E219:E222)</f>
        <v>7.5</v>
      </c>
      <c r="F223" s="49" t="s">
        <v>38</v>
      </c>
      <c r="G223" s="108"/>
      <c r="H223" s="108">
        <f>SUM(H219:H222)</f>
        <v>5</v>
      </c>
      <c r="I223" s="134"/>
      <c r="J223" s="135">
        <f>SUM(J219:J222)</f>
        <v>7.5</v>
      </c>
      <c r="K223" s="166"/>
      <c r="L223" s="19"/>
      <c r="M223" s="64"/>
      <c r="N223" s="28"/>
    </row>
    <row r="224" customFormat="1" ht="21.15" customHeight="1" spans="1:14">
      <c r="A224" s="65" t="s">
        <v>361</v>
      </c>
      <c r="B224" s="65" t="s">
        <v>362</v>
      </c>
      <c r="C224" s="65"/>
      <c r="D224" s="66"/>
      <c r="E224" s="66"/>
      <c r="F224" s="66"/>
      <c r="G224" s="153"/>
      <c r="H224" s="153"/>
      <c r="I224" s="167"/>
      <c r="J224" s="167"/>
      <c r="K224" s="65"/>
      <c r="L224" s="65"/>
      <c r="M224" s="17"/>
      <c r="N224" s="17"/>
    </row>
    <row r="225" customFormat="1" ht="21.15" hidden="1" customHeight="1" spans="1:14">
      <c r="A225" s="115">
        <v>163</v>
      </c>
      <c r="B225" s="154" t="s">
        <v>363</v>
      </c>
      <c r="C225" s="145">
        <v>1</v>
      </c>
      <c r="D225" s="155">
        <v>90</v>
      </c>
      <c r="E225" s="119">
        <f t="shared" ref="E225:E235" si="20">C225*D225</f>
        <v>90</v>
      </c>
      <c r="F225" s="156" t="s">
        <v>52</v>
      </c>
      <c r="G225" s="157"/>
      <c r="H225" s="158">
        <v>0</v>
      </c>
      <c r="I225" s="168">
        <v>90</v>
      </c>
      <c r="J225" s="142">
        <f>I225*H225</f>
        <v>0</v>
      </c>
      <c r="K225" s="116" t="s">
        <v>285</v>
      </c>
      <c r="L225" s="169" t="s">
        <v>364</v>
      </c>
      <c r="M225" s="169" t="s">
        <v>53</v>
      </c>
      <c r="N225" s="145" t="s">
        <v>207</v>
      </c>
    </row>
    <row r="226" customFormat="1" ht="21.15" hidden="1" customHeight="1" spans="1:14">
      <c r="A226" s="115">
        <v>164</v>
      </c>
      <c r="B226" s="154" t="s">
        <v>365</v>
      </c>
      <c r="C226" s="145">
        <v>1</v>
      </c>
      <c r="D226" s="155">
        <v>180</v>
      </c>
      <c r="E226" s="119">
        <f t="shared" si="20"/>
        <v>180</v>
      </c>
      <c r="F226" s="156" t="s">
        <v>52</v>
      </c>
      <c r="G226" s="157"/>
      <c r="H226" s="158">
        <v>0</v>
      </c>
      <c r="I226" s="168">
        <v>180</v>
      </c>
      <c r="J226" s="142">
        <f t="shared" ref="J226:J235" si="21">I226*H226</f>
        <v>0</v>
      </c>
      <c r="K226" s="116" t="s">
        <v>285</v>
      </c>
      <c r="L226" s="170"/>
      <c r="M226" s="170"/>
      <c r="N226" s="145" t="s">
        <v>207</v>
      </c>
    </row>
    <row r="227" customFormat="1" ht="21.15" hidden="1" customHeight="1" spans="1:14">
      <c r="A227" s="115">
        <v>165</v>
      </c>
      <c r="B227" s="118" t="s">
        <v>366</v>
      </c>
      <c r="C227" s="118">
        <v>1</v>
      </c>
      <c r="D227" s="119">
        <v>30</v>
      </c>
      <c r="E227" s="119">
        <f t="shared" si="20"/>
        <v>30</v>
      </c>
      <c r="F227" s="156" t="s">
        <v>52</v>
      </c>
      <c r="G227" s="159"/>
      <c r="H227" s="120">
        <v>0</v>
      </c>
      <c r="I227" s="144">
        <v>30</v>
      </c>
      <c r="J227" s="142">
        <f t="shared" si="21"/>
        <v>0</v>
      </c>
      <c r="K227" s="116" t="s">
        <v>285</v>
      </c>
      <c r="L227" s="170"/>
      <c r="M227" s="170"/>
      <c r="N227" s="145" t="s">
        <v>207</v>
      </c>
    </row>
    <row r="228" customFormat="1" ht="21.15" hidden="1" customHeight="1" spans="1:14">
      <c r="A228" s="115">
        <v>166</v>
      </c>
      <c r="B228" s="118" t="s">
        <v>367</v>
      </c>
      <c r="C228" s="118">
        <v>1</v>
      </c>
      <c r="D228" s="119">
        <v>30</v>
      </c>
      <c r="E228" s="119">
        <f t="shared" si="20"/>
        <v>30</v>
      </c>
      <c r="F228" s="156" t="s">
        <v>52</v>
      </c>
      <c r="G228" s="159"/>
      <c r="H228" s="120">
        <v>0</v>
      </c>
      <c r="I228" s="144">
        <v>30</v>
      </c>
      <c r="J228" s="142">
        <f t="shared" si="21"/>
        <v>0</v>
      </c>
      <c r="K228" s="116" t="s">
        <v>285</v>
      </c>
      <c r="L228" s="170"/>
      <c r="M228" s="170"/>
      <c r="N228" s="145" t="s">
        <v>207</v>
      </c>
    </row>
    <row r="229" customFormat="1" ht="21.15" hidden="1" customHeight="1" spans="1:14">
      <c r="A229" s="115">
        <v>167</v>
      </c>
      <c r="B229" s="118" t="s">
        <v>368</v>
      </c>
      <c r="C229" s="118">
        <v>1</v>
      </c>
      <c r="D229" s="119">
        <v>40</v>
      </c>
      <c r="E229" s="119">
        <f t="shared" si="20"/>
        <v>40</v>
      </c>
      <c r="F229" s="156" t="s">
        <v>52</v>
      </c>
      <c r="G229" s="159"/>
      <c r="H229" s="120">
        <v>0</v>
      </c>
      <c r="I229" s="144">
        <v>40</v>
      </c>
      <c r="J229" s="142">
        <f t="shared" si="21"/>
        <v>0</v>
      </c>
      <c r="K229" s="116" t="s">
        <v>285</v>
      </c>
      <c r="L229" s="170"/>
      <c r="M229" s="170"/>
      <c r="N229" s="145" t="s">
        <v>207</v>
      </c>
    </row>
    <row r="230" customFormat="1" ht="21.15" hidden="1" customHeight="1" spans="1:14">
      <c r="A230" s="115">
        <v>168</v>
      </c>
      <c r="B230" s="118" t="s">
        <v>369</v>
      </c>
      <c r="C230" s="118">
        <v>1</v>
      </c>
      <c r="D230" s="119">
        <v>50</v>
      </c>
      <c r="E230" s="119">
        <f t="shared" si="20"/>
        <v>50</v>
      </c>
      <c r="F230" s="156" t="s">
        <v>52</v>
      </c>
      <c r="G230" s="159"/>
      <c r="H230" s="120">
        <v>0</v>
      </c>
      <c r="I230" s="144">
        <v>50</v>
      </c>
      <c r="J230" s="142">
        <f t="shared" si="21"/>
        <v>0</v>
      </c>
      <c r="K230" s="116" t="s">
        <v>285</v>
      </c>
      <c r="L230" s="170"/>
      <c r="M230" s="170"/>
      <c r="N230" s="145" t="s">
        <v>207</v>
      </c>
    </row>
    <row r="231" customFormat="1" ht="180" spans="1:14">
      <c r="A231" s="86">
        <v>169</v>
      </c>
      <c r="B231" s="90" t="s">
        <v>370</v>
      </c>
      <c r="C231" s="90">
        <v>10</v>
      </c>
      <c r="D231" s="91">
        <v>25</v>
      </c>
      <c r="E231" s="91">
        <f t="shared" si="20"/>
        <v>250</v>
      </c>
      <c r="F231" s="160" t="s">
        <v>371</v>
      </c>
      <c r="G231" s="94" t="s">
        <v>372</v>
      </c>
      <c r="H231" s="105">
        <v>10</v>
      </c>
      <c r="I231" s="133">
        <v>25</v>
      </c>
      <c r="J231" s="123">
        <f t="shared" si="21"/>
        <v>250</v>
      </c>
      <c r="K231" s="87" t="s">
        <v>199</v>
      </c>
      <c r="L231" s="171" t="s">
        <v>364</v>
      </c>
      <c r="M231" s="171" t="s">
        <v>53</v>
      </c>
      <c r="N231" s="124" t="s">
        <v>207</v>
      </c>
    </row>
    <row r="232" customFormat="1" ht="21.15" hidden="1" customHeight="1" spans="1:14">
      <c r="A232" s="115">
        <v>170</v>
      </c>
      <c r="B232" s="118" t="s">
        <v>373</v>
      </c>
      <c r="C232" s="118">
        <v>1</v>
      </c>
      <c r="D232" s="119">
        <v>25</v>
      </c>
      <c r="E232" s="119">
        <f t="shared" si="20"/>
        <v>25</v>
      </c>
      <c r="F232" s="156" t="s">
        <v>52</v>
      </c>
      <c r="G232" s="159"/>
      <c r="H232" s="120">
        <v>0</v>
      </c>
      <c r="I232" s="144">
        <v>25</v>
      </c>
      <c r="J232" s="142">
        <f t="shared" si="21"/>
        <v>0</v>
      </c>
      <c r="K232" s="116" t="s">
        <v>285</v>
      </c>
      <c r="L232" s="169" t="s">
        <v>364</v>
      </c>
      <c r="M232" s="169" t="s">
        <v>53</v>
      </c>
      <c r="N232" s="145" t="s">
        <v>207</v>
      </c>
    </row>
    <row r="233" customFormat="1" ht="21.15" hidden="1" customHeight="1" spans="1:14">
      <c r="A233" s="115">
        <v>171</v>
      </c>
      <c r="B233" s="118" t="s">
        <v>374</v>
      </c>
      <c r="C233" s="118">
        <v>2</v>
      </c>
      <c r="D233" s="119">
        <v>28</v>
      </c>
      <c r="E233" s="119">
        <f t="shared" si="20"/>
        <v>56</v>
      </c>
      <c r="F233" s="156" t="s">
        <v>52</v>
      </c>
      <c r="G233" s="159"/>
      <c r="H233" s="120">
        <v>0</v>
      </c>
      <c r="I233" s="144">
        <v>28</v>
      </c>
      <c r="J233" s="142">
        <f t="shared" si="21"/>
        <v>0</v>
      </c>
      <c r="K233" s="116" t="s">
        <v>285</v>
      </c>
      <c r="L233" s="170"/>
      <c r="M233" s="170"/>
      <c r="N233" s="145" t="s">
        <v>207</v>
      </c>
    </row>
    <row r="234" customFormat="1" ht="52.5" hidden="1" customHeight="1" spans="1:14">
      <c r="A234" s="115">
        <v>172</v>
      </c>
      <c r="B234" s="118" t="s">
        <v>375</v>
      </c>
      <c r="C234" s="118">
        <v>1</v>
      </c>
      <c r="D234" s="119">
        <v>22</v>
      </c>
      <c r="E234" s="119">
        <f t="shared" si="20"/>
        <v>22</v>
      </c>
      <c r="F234" s="156" t="s">
        <v>52</v>
      </c>
      <c r="G234" s="159"/>
      <c r="H234" s="120">
        <v>0</v>
      </c>
      <c r="I234" s="144">
        <v>22</v>
      </c>
      <c r="J234" s="142">
        <f t="shared" si="21"/>
        <v>0</v>
      </c>
      <c r="K234" s="116" t="s">
        <v>285</v>
      </c>
      <c r="L234" s="170"/>
      <c r="M234" s="170"/>
      <c r="N234" s="145" t="s">
        <v>207</v>
      </c>
    </row>
    <row r="235" customFormat="1" ht="53.25" hidden="1" customHeight="1" spans="1:14">
      <c r="A235" s="115">
        <v>173</v>
      </c>
      <c r="B235" s="118" t="s">
        <v>376</v>
      </c>
      <c r="C235" s="118">
        <v>1</v>
      </c>
      <c r="D235" s="119">
        <v>25</v>
      </c>
      <c r="E235" s="119">
        <f t="shared" si="20"/>
        <v>25</v>
      </c>
      <c r="F235" s="156" t="s">
        <v>52</v>
      </c>
      <c r="G235" s="159"/>
      <c r="H235" s="120">
        <v>0</v>
      </c>
      <c r="I235" s="144">
        <v>25</v>
      </c>
      <c r="J235" s="142">
        <f t="shared" si="21"/>
        <v>0</v>
      </c>
      <c r="K235" s="116" t="s">
        <v>285</v>
      </c>
      <c r="L235" s="170"/>
      <c r="M235" s="170"/>
      <c r="N235" s="145" t="s">
        <v>207</v>
      </c>
    </row>
    <row r="236" customFormat="1" ht="21.15" customHeight="1" spans="1:14">
      <c r="A236" s="28"/>
      <c r="B236" s="25" t="s">
        <v>38</v>
      </c>
      <c r="C236" s="25">
        <f>SUM(C225:C235)</f>
        <v>21</v>
      </c>
      <c r="D236" s="25"/>
      <c r="E236" s="49">
        <f>SUM(E225:E235)</f>
        <v>798</v>
      </c>
      <c r="F236" s="49" t="s">
        <v>38</v>
      </c>
      <c r="G236" s="108"/>
      <c r="H236" s="108">
        <f>SUM(H225:H235)</f>
        <v>10</v>
      </c>
      <c r="I236" s="134"/>
      <c r="J236" s="172">
        <f>SUM(J225:J235)</f>
        <v>250</v>
      </c>
      <c r="K236" s="173"/>
      <c r="L236" s="174"/>
      <c r="M236" s="21"/>
      <c r="N236" s="28"/>
    </row>
    <row r="237" customFormat="1" ht="27.15" customHeight="1" spans="1:14">
      <c r="A237" s="37"/>
      <c r="B237" s="38" t="s">
        <v>7</v>
      </c>
      <c r="C237" s="39">
        <f>C219+C203+C185+C166+C134+C100</f>
        <v>62</v>
      </c>
      <c r="D237" s="39"/>
      <c r="E237" s="40">
        <f>E165+E168+E181+E194+E203+E217+E223+E236</f>
        <v>3902.26</v>
      </c>
      <c r="F237" s="40" t="s">
        <v>7</v>
      </c>
      <c r="G237" s="41"/>
      <c r="H237" s="41"/>
      <c r="I237" s="175"/>
      <c r="J237" s="176">
        <f>J236+J223+J217+J203+J194+J181+J168+J165</f>
        <v>2688.76</v>
      </c>
      <c r="K237" s="41"/>
      <c r="L237" s="41"/>
      <c r="M237" s="41"/>
      <c r="N237" s="41"/>
    </row>
    <row r="238" customFormat="1" ht="42.5" customHeight="1" spans="1:14">
      <c r="A238" s="37"/>
      <c r="B238" s="38" t="s">
        <v>377</v>
      </c>
      <c r="C238" s="40">
        <f>C152+C237</f>
        <v>235</v>
      </c>
      <c r="D238" s="39"/>
      <c r="E238" s="40">
        <f>E152+E237</f>
        <v>6448.6817</v>
      </c>
      <c r="F238" s="40" t="s">
        <v>377</v>
      </c>
      <c r="G238" s="41"/>
      <c r="H238" s="41"/>
      <c r="I238" s="175"/>
      <c r="J238" s="176">
        <f>J237+J152</f>
        <v>5235.1817</v>
      </c>
      <c r="K238" s="41"/>
      <c r="L238" s="41"/>
      <c r="M238" s="41"/>
      <c r="N238" s="41"/>
    </row>
    <row r="239" customFormat="1" ht="38" customHeight="1" spans="4:12">
      <c r="D239" s="161" t="s">
        <v>378</v>
      </c>
      <c r="E239" s="161">
        <f>E238-N1</f>
        <v>1223.8317</v>
      </c>
      <c r="F239" s="162"/>
      <c r="G239" s="163"/>
      <c r="H239" s="163"/>
      <c r="I239" s="177" t="s">
        <v>378</v>
      </c>
      <c r="J239" s="178">
        <f>J238-N1</f>
        <v>10.3316999999997</v>
      </c>
      <c r="K239" s="2"/>
      <c r="L239" s="2"/>
    </row>
  </sheetData>
  <mergeCells count="38">
    <mergeCell ref="A1:L1"/>
    <mergeCell ref="A2:N2"/>
    <mergeCell ref="A4:N4"/>
    <mergeCell ref="A153:N153"/>
    <mergeCell ref="B154:E154"/>
    <mergeCell ref="F154:J154"/>
    <mergeCell ref="F157:F159"/>
    <mergeCell ref="F160:F161"/>
    <mergeCell ref="F170:F171"/>
    <mergeCell ref="F172:F173"/>
    <mergeCell ref="G157:G159"/>
    <mergeCell ref="G160:G161"/>
    <mergeCell ref="G172:G173"/>
    <mergeCell ref="H157:H159"/>
    <mergeCell ref="H160:H161"/>
    <mergeCell ref="H172:H173"/>
    <mergeCell ref="I157:I159"/>
    <mergeCell ref="I160:I161"/>
    <mergeCell ref="I172:I173"/>
    <mergeCell ref="J157:J159"/>
    <mergeCell ref="J160:J161"/>
    <mergeCell ref="J172:J173"/>
    <mergeCell ref="K157:K159"/>
    <mergeCell ref="K160:K161"/>
    <mergeCell ref="K172:K173"/>
    <mergeCell ref="L225:L230"/>
    <mergeCell ref="L232:L235"/>
    <mergeCell ref="M225:M230"/>
    <mergeCell ref="M232:M235"/>
    <mergeCell ref="N6:N11"/>
    <mergeCell ref="N12:N17"/>
    <mergeCell ref="N20:N51"/>
    <mergeCell ref="N55:N84"/>
    <mergeCell ref="N87:N103"/>
    <mergeCell ref="N106:N109"/>
    <mergeCell ref="N110:N119"/>
    <mergeCell ref="N122:N133"/>
    <mergeCell ref="N136:N15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6"/>
  <sheetViews>
    <sheetView topLeftCell="A177" workbookViewId="0">
      <selection activeCell="B190" sqref="B190"/>
    </sheetView>
  </sheetViews>
  <sheetFormatPr defaultColWidth="11" defaultRowHeight="14.1"/>
  <cols>
    <col min="2" max="2" width="43.7477477477477" customWidth="1"/>
    <col min="3" max="4" width="23.3783783783784" customWidth="1"/>
    <col min="5" max="5" width="23.3783783783784" style="1" customWidth="1"/>
    <col min="6" max="6" width="23.3783783783784" style="2" customWidth="1"/>
    <col min="7" max="7" width="23.3783783783784" customWidth="1"/>
    <col min="8" max="8" width="33.3873873873874" customWidth="1"/>
    <col min="9" max="9" width="31.7927927927928" customWidth="1"/>
    <col min="10" max="10" width="26.5315315315315" customWidth="1"/>
  </cols>
  <sheetData>
    <row r="1" ht="32.85" customHeight="1" spans="1:10">
      <c r="A1" s="3" t="s">
        <v>0</v>
      </c>
      <c r="B1" s="4"/>
      <c r="C1" s="4"/>
      <c r="D1" s="4"/>
      <c r="E1" s="4"/>
      <c r="F1" s="4"/>
      <c r="G1" s="5" t="s">
        <v>1</v>
      </c>
      <c r="H1" s="6">
        <v>5224.85</v>
      </c>
      <c r="I1" s="35"/>
      <c r="J1" s="35"/>
    </row>
    <row r="2" ht="18.3" customHeight="1" spans="1:8">
      <c r="A2" s="7" t="s">
        <v>2</v>
      </c>
      <c r="B2" s="7"/>
      <c r="C2" s="7"/>
      <c r="D2" s="7"/>
      <c r="E2" s="8"/>
      <c r="F2" s="9"/>
      <c r="G2" s="7"/>
      <c r="H2" s="7"/>
    </row>
    <row r="3" ht="18.3" customHeight="1" spans="1:8">
      <c r="A3" s="10" t="s">
        <v>3</v>
      </c>
      <c r="B3" s="11" t="s">
        <v>4</v>
      </c>
      <c r="C3" s="11" t="s">
        <v>5</v>
      </c>
      <c r="D3" s="12" t="s">
        <v>6</v>
      </c>
      <c r="E3" s="12" t="s">
        <v>7</v>
      </c>
      <c r="F3" s="11" t="s">
        <v>8</v>
      </c>
      <c r="G3" s="11" t="s">
        <v>9</v>
      </c>
      <c r="H3" s="11" t="s">
        <v>10</v>
      </c>
    </row>
    <row r="4" ht="29.65" customHeight="1" spans="1:8">
      <c r="A4" s="13" t="s">
        <v>11</v>
      </c>
      <c r="B4" s="14"/>
      <c r="C4" s="14"/>
      <c r="D4" s="14"/>
      <c r="E4" s="14"/>
      <c r="F4" s="14"/>
      <c r="G4" s="14"/>
      <c r="H4" s="15"/>
    </row>
    <row r="5" ht="18.3" customHeight="1" spans="1:8">
      <c r="A5" s="16" t="s">
        <v>12</v>
      </c>
      <c r="B5" s="16" t="s">
        <v>13</v>
      </c>
      <c r="C5" s="17"/>
      <c r="D5" s="17"/>
      <c r="E5" s="17"/>
      <c r="F5" s="17"/>
      <c r="G5" s="17"/>
      <c r="H5" s="17"/>
    </row>
    <row r="6" ht="18.3" customHeight="1" spans="1:8">
      <c r="A6" s="18">
        <v>1</v>
      </c>
      <c r="B6" s="19" t="s">
        <v>14</v>
      </c>
      <c r="C6" s="19">
        <v>1</v>
      </c>
      <c r="D6" s="20">
        <v>7.5</v>
      </c>
      <c r="E6" s="20">
        <f>D6*C6</f>
        <v>7.5</v>
      </c>
      <c r="F6" s="19" t="s">
        <v>15</v>
      </c>
      <c r="G6" s="19" t="s">
        <v>16</v>
      </c>
      <c r="H6" s="21" t="s">
        <v>17</v>
      </c>
    </row>
    <row r="7" ht="31.5" customHeight="1" spans="1:8">
      <c r="A7" s="18">
        <v>2</v>
      </c>
      <c r="B7" s="19" t="s">
        <v>18</v>
      </c>
      <c r="C7" s="19">
        <v>1</v>
      </c>
      <c r="D7" s="20">
        <v>29.6</v>
      </c>
      <c r="E7" s="20">
        <f t="shared" ref="E7:E17" si="0">D7*C7</f>
        <v>29.6</v>
      </c>
      <c r="F7" s="19" t="s">
        <v>19</v>
      </c>
      <c r="G7" s="19" t="s">
        <v>20</v>
      </c>
      <c r="H7" s="22"/>
    </row>
    <row r="8" ht="28.5" customHeight="1" spans="1:8">
      <c r="A8" s="18">
        <v>3</v>
      </c>
      <c r="B8" s="19" t="s">
        <v>21</v>
      </c>
      <c r="C8" s="19">
        <v>2</v>
      </c>
      <c r="D8" s="20">
        <v>29.3</v>
      </c>
      <c r="E8" s="20">
        <f t="shared" si="0"/>
        <v>58.6</v>
      </c>
      <c r="F8" s="19" t="s">
        <v>22</v>
      </c>
      <c r="G8" s="19" t="s">
        <v>22</v>
      </c>
      <c r="H8" s="22"/>
    </row>
    <row r="9" ht="18.3" customHeight="1" spans="1:8">
      <c r="A9" s="18">
        <v>4</v>
      </c>
      <c r="B9" s="19" t="s">
        <v>23</v>
      </c>
      <c r="C9" s="19">
        <v>2</v>
      </c>
      <c r="D9" s="20">
        <v>111</v>
      </c>
      <c r="E9" s="20">
        <f t="shared" si="0"/>
        <v>222</v>
      </c>
      <c r="F9" s="19" t="s">
        <v>22</v>
      </c>
      <c r="G9" s="19" t="s">
        <v>22</v>
      </c>
      <c r="H9" s="22"/>
    </row>
    <row r="10" ht="18.3" customHeight="1" spans="1:8">
      <c r="A10" s="18">
        <v>5</v>
      </c>
      <c r="B10" s="19" t="s">
        <v>24</v>
      </c>
      <c r="C10" s="19">
        <v>1</v>
      </c>
      <c r="D10" s="20">
        <v>118</v>
      </c>
      <c r="E10" s="20">
        <f t="shared" si="0"/>
        <v>118</v>
      </c>
      <c r="F10" s="19" t="s">
        <v>22</v>
      </c>
      <c r="G10" s="19" t="s">
        <v>22</v>
      </c>
      <c r="H10" s="22"/>
    </row>
    <row r="11" ht="18.3" customHeight="1" spans="1:8">
      <c r="A11" s="18">
        <v>6</v>
      </c>
      <c r="B11" s="19" t="s">
        <v>25</v>
      </c>
      <c r="C11" s="19">
        <v>1</v>
      </c>
      <c r="D11" s="20">
        <v>129.8</v>
      </c>
      <c r="E11" s="20">
        <f t="shared" si="0"/>
        <v>129.8</v>
      </c>
      <c r="F11" s="23"/>
      <c r="G11" s="23"/>
      <c r="H11" s="22"/>
    </row>
    <row r="12" ht="18.3" customHeight="1" spans="1:8">
      <c r="A12" s="18">
        <v>7</v>
      </c>
      <c r="B12" s="18" t="s">
        <v>26</v>
      </c>
      <c r="C12" s="24">
        <v>1</v>
      </c>
      <c r="D12" s="23">
        <v>9.3</v>
      </c>
      <c r="E12" s="20">
        <f t="shared" si="0"/>
        <v>9.3</v>
      </c>
      <c r="F12" s="19" t="s">
        <v>27</v>
      </c>
      <c r="G12" s="19" t="s">
        <v>28</v>
      </c>
      <c r="H12" s="21" t="s">
        <v>29</v>
      </c>
    </row>
    <row r="13" ht="18.3" customHeight="1" spans="1:8">
      <c r="A13" s="18">
        <v>8</v>
      </c>
      <c r="B13" s="18" t="s">
        <v>30</v>
      </c>
      <c r="C13" s="24">
        <v>2</v>
      </c>
      <c r="D13" s="23">
        <v>3.38</v>
      </c>
      <c r="E13" s="20">
        <f t="shared" si="0"/>
        <v>6.76</v>
      </c>
      <c r="F13" s="19"/>
      <c r="G13" s="19" t="s">
        <v>20</v>
      </c>
      <c r="H13" s="22"/>
    </row>
    <row r="14" ht="18.3" customHeight="1" spans="1:8">
      <c r="A14" s="18">
        <v>9</v>
      </c>
      <c r="B14" s="18" t="s">
        <v>31</v>
      </c>
      <c r="C14" s="24">
        <v>10</v>
      </c>
      <c r="D14" s="23">
        <v>3.6</v>
      </c>
      <c r="E14" s="20">
        <f t="shared" si="0"/>
        <v>36</v>
      </c>
      <c r="F14" s="19" t="s">
        <v>32</v>
      </c>
      <c r="G14" s="19" t="s">
        <v>20</v>
      </c>
      <c r="H14" s="22"/>
    </row>
    <row r="15" ht="18.3" customHeight="1" spans="1:8">
      <c r="A15" s="18">
        <v>10</v>
      </c>
      <c r="B15" s="18" t="s">
        <v>33</v>
      </c>
      <c r="C15" s="24">
        <v>10</v>
      </c>
      <c r="D15" s="23">
        <v>4.4</v>
      </c>
      <c r="E15" s="20">
        <f t="shared" si="0"/>
        <v>44</v>
      </c>
      <c r="F15" s="19" t="s">
        <v>32</v>
      </c>
      <c r="G15" s="19" t="s">
        <v>20</v>
      </c>
      <c r="H15" s="22"/>
    </row>
    <row r="16" ht="18.3" customHeight="1" spans="1:8">
      <c r="A16" s="18">
        <v>11</v>
      </c>
      <c r="B16" s="18" t="s">
        <v>34</v>
      </c>
      <c r="C16" s="24">
        <v>1</v>
      </c>
      <c r="D16" s="23">
        <v>3.4</v>
      </c>
      <c r="E16" s="20">
        <f t="shared" si="0"/>
        <v>3.4</v>
      </c>
      <c r="F16" s="19" t="s">
        <v>35</v>
      </c>
      <c r="G16" s="19" t="s">
        <v>36</v>
      </c>
      <c r="H16" s="22"/>
    </row>
    <row r="17" ht="18.3" customHeight="1" spans="1:8">
      <c r="A17" s="18">
        <v>12</v>
      </c>
      <c r="B17" s="18" t="s">
        <v>37</v>
      </c>
      <c r="C17" s="24">
        <v>2</v>
      </c>
      <c r="D17" s="23">
        <v>1.7</v>
      </c>
      <c r="E17" s="20">
        <f t="shared" si="0"/>
        <v>3.4</v>
      </c>
      <c r="F17" s="19" t="s">
        <v>19</v>
      </c>
      <c r="G17" s="19" t="s">
        <v>20</v>
      </c>
      <c r="H17" s="22"/>
    </row>
    <row r="18" ht="18.3" customHeight="1" spans="1:8">
      <c r="A18" s="18"/>
      <c r="B18" s="25" t="s">
        <v>38</v>
      </c>
      <c r="C18" s="26">
        <f>SUM(C6:C17)</f>
        <v>34</v>
      </c>
      <c r="D18" s="26"/>
      <c r="E18" s="27">
        <f>SUM(E6:E17)</f>
        <v>668.36</v>
      </c>
      <c r="F18" s="23"/>
      <c r="G18" s="23"/>
      <c r="H18" s="28"/>
    </row>
    <row r="19" ht="18.3" customHeight="1" spans="1:8">
      <c r="A19" s="16" t="s">
        <v>39</v>
      </c>
      <c r="B19" s="16" t="s">
        <v>40</v>
      </c>
      <c r="C19" s="16"/>
      <c r="D19" s="17"/>
      <c r="E19" s="17"/>
      <c r="F19" s="17"/>
      <c r="G19" s="17"/>
      <c r="H19" s="17"/>
    </row>
    <row r="20" ht="18.3" customHeight="1" spans="1:8">
      <c r="A20" s="18">
        <v>13</v>
      </c>
      <c r="B20" s="19" t="s">
        <v>41</v>
      </c>
      <c r="C20" s="19">
        <v>1</v>
      </c>
      <c r="D20" s="20">
        <v>2.98</v>
      </c>
      <c r="E20" s="20">
        <f>D20*C20</f>
        <v>2.98</v>
      </c>
      <c r="F20" s="29" t="s">
        <v>42</v>
      </c>
      <c r="G20" s="29" t="s">
        <v>43</v>
      </c>
      <c r="H20" s="21" t="s">
        <v>17</v>
      </c>
    </row>
    <row r="21" ht="18.3" customHeight="1" spans="1:8">
      <c r="A21" s="18">
        <v>14</v>
      </c>
      <c r="B21" s="19" t="s">
        <v>44</v>
      </c>
      <c r="C21" s="19">
        <v>3</v>
      </c>
      <c r="D21" s="20">
        <v>2.6243</v>
      </c>
      <c r="E21" s="20">
        <f>D21*C21</f>
        <v>7.8729</v>
      </c>
      <c r="F21" s="29" t="s">
        <v>45</v>
      </c>
      <c r="G21" s="29" t="s">
        <v>46</v>
      </c>
      <c r="H21" s="22"/>
    </row>
    <row r="22" ht="18.3" customHeight="1" spans="1:8">
      <c r="A22" s="18">
        <v>15</v>
      </c>
      <c r="B22" s="19" t="s">
        <v>47</v>
      </c>
      <c r="C22" s="19">
        <v>1</v>
      </c>
      <c r="D22" s="20">
        <v>2.6</v>
      </c>
      <c r="E22" s="20">
        <f>D22*C22</f>
        <v>2.6</v>
      </c>
      <c r="F22" s="29" t="s">
        <v>45</v>
      </c>
      <c r="G22" s="29" t="s">
        <v>46</v>
      </c>
      <c r="H22" s="22"/>
    </row>
    <row r="23" ht="18.3" customHeight="1" spans="1:8">
      <c r="A23" s="18">
        <v>16</v>
      </c>
      <c r="B23" s="19" t="s">
        <v>48</v>
      </c>
      <c r="C23" s="19">
        <v>3</v>
      </c>
      <c r="D23" s="20">
        <v>1.1</v>
      </c>
      <c r="E23" s="20">
        <f>D23*C23</f>
        <v>3.3</v>
      </c>
      <c r="F23" s="29" t="s">
        <v>45</v>
      </c>
      <c r="G23" s="29" t="s">
        <v>46</v>
      </c>
      <c r="H23" s="22"/>
    </row>
    <row r="24" ht="18.3" customHeight="1" spans="1:8">
      <c r="A24" s="18">
        <v>17</v>
      </c>
      <c r="B24" s="19" t="s">
        <v>49</v>
      </c>
      <c r="C24" s="19">
        <v>3</v>
      </c>
      <c r="D24" s="20">
        <v>1.2</v>
      </c>
      <c r="E24" s="20">
        <f>D24*C24</f>
        <v>3.6</v>
      </c>
      <c r="F24" s="30" t="s">
        <v>50</v>
      </c>
      <c r="G24" s="30" t="s">
        <v>43</v>
      </c>
      <c r="H24" s="22"/>
    </row>
    <row r="25" ht="18.3" customHeight="1" spans="1:8">
      <c r="A25" s="18">
        <v>18</v>
      </c>
      <c r="B25" s="31" t="s">
        <v>51</v>
      </c>
      <c r="C25" s="31">
        <v>1</v>
      </c>
      <c r="D25" s="32" t="s">
        <v>52</v>
      </c>
      <c r="E25" s="32">
        <f>SUM(E26:E33)</f>
        <v>43.19</v>
      </c>
      <c r="F25" s="19"/>
      <c r="G25" s="19" t="s">
        <v>53</v>
      </c>
      <c r="H25" s="22"/>
    </row>
    <row r="26" ht="18.3" customHeight="1" spans="1:8">
      <c r="A26" s="18"/>
      <c r="B26" s="19" t="s">
        <v>54</v>
      </c>
      <c r="C26" s="19">
        <v>1</v>
      </c>
      <c r="D26" s="20">
        <v>40</v>
      </c>
      <c r="E26" s="32">
        <f>D26*C26</f>
        <v>40</v>
      </c>
      <c r="F26" s="19"/>
      <c r="G26" s="19"/>
      <c r="H26" s="22"/>
    </row>
    <row r="27" ht="18.3" customHeight="1" spans="1:8">
      <c r="A27" s="18"/>
      <c r="B27" s="19" t="s">
        <v>55</v>
      </c>
      <c r="C27" s="19">
        <v>1</v>
      </c>
      <c r="D27" s="20">
        <v>0.3</v>
      </c>
      <c r="E27" s="32">
        <f t="shared" ref="E27:E33" si="1">D27*C27</f>
        <v>0.3</v>
      </c>
      <c r="F27" s="19"/>
      <c r="G27" s="19"/>
      <c r="H27" s="22"/>
    </row>
    <row r="28" ht="18.3" customHeight="1" spans="1:8">
      <c r="A28" s="18"/>
      <c r="B28" s="19" t="s">
        <v>56</v>
      </c>
      <c r="C28" s="19">
        <v>1</v>
      </c>
      <c r="D28" s="20">
        <v>0.3</v>
      </c>
      <c r="E28" s="32">
        <f t="shared" si="1"/>
        <v>0.3</v>
      </c>
      <c r="F28" s="19"/>
      <c r="G28" s="19"/>
      <c r="H28" s="22"/>
    </row>
    <row r="29" ht="18.3" customHeight="1" spans="1:8">
      <c r="A29" s="18"/>
      <c r="B29" s="19" t="s">
        <v>57</v>
      </c>
      <c r="C29" s="19">
        <v>1</v>
      </c>
      <c r="D29" s="20">
        <v>0.95</v>
      </c>
      <c r="E29" s="32">
        <f t="shared" si="1"/>
        <v>0.95</v>
      </c>
      <c r="F29" s="19"/>
      <c r="G29" s="19"/>
      <c r="H29" s="22"/>
    </row>
    <row r="30" ht="18.3" customHeight="1" spans="1:8">
      <c r="A30" s="18"/>
      <c r="B30" s="19" t="s">
        <v>58</v>
      </c>
      <c r="C30" s="19">
        <v>1</v>
      </c>
      <c r="D30" s="20">
        <v>0.4</v>
      </c>
      <c r="E30" s="32">
        <f t="shared" si="1"/>
        <v>0.4</v>
      </c>
      <c r="F30" s="19"/>
      <c r="G30" s="19"/>
      <c r="H30" s="22"/>
    </row>
    <row r="31" ht="18.3" customHeight="1" spans="1:8">
      <c r="A31" s="18"/>
      <c r="B31" s="19" t="s">
        <v>59</v>
      </c>
      <c r="C31" s="19">
        <v>1</v>
      </c>
      <c r="D31" s="20">
        <v>0.25</v>
      </c>
      <c r="E31" s="32">
        <f t="shared" si="1"/>
        <v>0.25</v>
      </c>
      <c r="F31" s="19"/>
      <c r="G31" s="19"/>
      <c r="H31" s="22"/>
    </row>
    <row r="32" ht="18.3" customHeight="1" spans="1:8">
      <c r="A32" s="18"/>
      <c r="B32" s="19" t="s">
        <v>60</v>
      </c>
      <c r="C32" s="19">
        <v>1</v>
      </c>
      <c r="D32" s="20">
        <v>0.3</v>
      </c>
      <c r="E32" s="32">
        <f t="shared" si="1"/>
        <v>0.3</v>
      </c>
      <c r="F32" s="19"/>
      <c r="G32" s="19"/>
      <c r="H32" s="22"/>
    </row>
    <row r="33" ht="18.3" customHeight="1" spans="1:8">
      <c r="A33" s="18"/>
      <c r="B33" s="19" t="s">
        <v>61</v>
      </c>
      <c r="C33" s="19">
        <v>1</v>
      </c>
      <c r="D33" s="20">
        <v>0.69</v>
      </c>
      <c r="E33" s="32">
        <f t="shared" si="1"/>
        <v>0.69</v>
      </c>
      <c r="F33" s="19"/>
      <c r="G33" s="19"/>
      <c r="H33" s="22"/>
    </row>
    <row r="34" ht="18.3" customHeight="1" spans="1:8">
      <c r="A34" s="18">
        <v>19</v>
      </c>
      <c r="B34" s="31" t="s">
        <v>62</v>
      </c>
      <c r="C34" s="31">
        <v>1</v>
      </c>
      <c r="D34" s="32" t="s">
        <v>52</v>
      </c>
      <c r="E34" s="32">
        <f>SUM(E35:E42)</f>
        <v>40.3378</v>
      </c>
      <c r="F34" s="19"/>
      <c r="G34" s="19"/>
      <c r="H34" s="22"/>
    </row>
    <row r="35" ht="18.3" customHeight="1" spans="1:8">
      <c r="A35" s="18"/>
      <c r="B35" s="19" t="s">
        <v>63</v>
      </c>
      <c r="C35" s="19">
        <v>1</v>
      </c>
      <c r="D35" s="20">
        <v>24.724</v>
      </c>
      <c r="E35" s="32">
        <f>D35*C35</f>
        <v>24.724</v>
      </c>
      <c r="F35" s="19"/>
      <c r="G35" s="19"/>
      <c r="H35" s="22"/>
    </row>
    <row r="36" ht="18.3" customHeight="1" spans="1:8">
      <c r="A36" s="18"/>
      <c r="B36" s="19" t="s">
        <v>64</v>
      </c>
      <c r="C36" s="19">
        <v>1</v>
      </c>
      <c r="D36" s="20">
        <v>0.35</v>
      </c>
      <c r="E36" s="32">
        <f t="shared" ref="E36:E43" si="2">D36*C36</f>
        <v>0.35</v>
      </c>
      <c r="F36" s="19"/>
      <c r="G36" s="19"/>
      <c r="H36" s="22"/>
    </row>
    <row r="37" ht="18.3" customHeight="1" spans="1:8">
      <c r="A37" s="18"/>
      <c r="B37" s="19" t="s">
        <v>65</v>
      </c>
      <c r="C37" s="19">
        <v>1</v>
      </c>
      <c r="D37" s="20">
        <v>0.22</v>
      </c>
      <c r="E37" s="32">
        <f t="shared" si="2"/>
        <v>0.22</v>
      </c>
      <c r="F37" s="19"/>
      <c r="G37" s="19"/>
      <c r="H37" s="22"/>
    </row>
    <row r="38" ht="18.3" customHeight="1" spans="1:8">
      <c r="A38" s="18"/>
      <c r="B38" s="19" t="s">
        <v>66</v>
      </c>
      <c r="C38" s="19">
        <v>1</v>
      </c>
      <c r="D38" s="20">
        <v>0.61</v>
      </c>
      <c r="E38" s="32">
        <f t="shared" si="2"/>
        <v>0.61</v>
      </c>
      <c r="F38" s="19"/>
      <c r="G38" s="19"/>
      <c r="H38" s="22"/>
    </row>
    <row r="39" ht="18.3" customHeight="1" spans="1:8">
      <c r="A39" s="18"/>
      <c r="B39" s="19" t="s">
        <v>67</v>
      </c>
      <c r="C39" s="19">
        <v>1</v>
      </c>
      <c r="D39" s="20">
        <v>0.3</v>
      </c>
      <c r="E39" s="32">
        <f t="shared" si="2"/>
        <v>0.3</v>
      </c>
      <c r="F39" s="19"/>
      <c r="G39" s="19"/>
      <c r="H39" s="22"/>
    </row>
    <row r="40" ht="18.3" customHeight="1" spans="1:8">
      <c r="A40" s="18"/>
      <c r="B40" s="19" t="s">
        <v>68</v>
      </c>
      <c r="C40" s="19">
        <v>1</v>
      </c>
      <c r="D40" s="20">
        <v>0.95</v>
      </c>
      <c r="E40" s="32">
        <f t="shared" si="2"/>
        <v>0.95</v>
      </c>
      <c r="F40" s="19"/>
      <c r="G40" s="19"/>
      <c r="H40" s="22"/>
    </row>
    <row r="41" ht="18.3" customHeight="1" spans="1:8">
      <c r="A41" s="18"/>
      <c r="B41" s="19" t="s">
        <v>69</v>
      </c>
      <c r="C41" s="19">
        <v>1</v>
      </c>
      <c r="D41" s="20">
        <v>12.5538</v>
      </c>
      <c r="E41" s="32">
        <f t="shared" si="2"/>
        <v>12.5538</v>
      </c>
      <c r="F41" s="19"/>
      <c r="G41" s="19"/>
      <c r="H41" s="22"/>
    </row>
    <row r="42" ht="18.3" customHeight="1" spans="1:8">
      <c r="A42" s="18"/>
      <c r="B42" s="19" t="s">
        <v>70</v>
      </c>
      <c r="C42" s="19">
        <v>1</v>
      </c>
      <c r="D42" s="20">
        <v>0.63</v>
      </c>
      <c r="E42" s="32">
        <f t="shared" si="2"/>
        <v>0.63</v>
      </c>
      <c r="F42" s="19"/>
      <c r="G42" s="19"/>
      <c r="H42" s="22"/>
    </row>
    <row r="43" ht="18.3" customHeight="1" spans="1:8">
      <c r="A43" s="18">
        <v>20</v>
      </c>
      <c r="B43" s="19" t="s">
        <v>71</v>
      </c>
      <c r="C43" s="19">
        <v>1</v>
      </c>
      <c r="D43" s="20">
        <v>20.9</v>
      </c>
      <c r="E43" s="20">
        <f t="shared" si="2"/>
        <v>20.9</v>
      </c>
      <c r="F43" s="19"/>
      <c r="G43" s="19"/>
      <c r="H43" s="22"/>
    </row>
    <row r="44" ht="18.3" customHeight="1" spans="1:8">
      <c r="A44" s="18"/>
      <c r="B44" s="31" t="s">
        <v>72</v>
      </c>
      <c r="C44" s="31">
        <v>1</v>
      </c>
      <c r="D44" s="32" t="s">
        <v>52</v>
      </c>
      <c r="E44" s="32">
        <f>SUM(E45:E51)</f>
        <v>24.285</v>
      </c>
      <c r="F44" s="19"/>
      <c r="G44" s="19" t="s">
        <v>53</v>
      </c>
      <c r="H44" s="22"/>
    </row>
    <row r="45" ht="18.3" customHeight="1" spans="1:8">
      <c r="A45" s="18"/>
      <c r="B45" s="19" t="s">
        <v>73</v>
      </c>
      <c r="C45" s="19">
        <v>1</v>
      </c>
      <c r="D45" s="20">
        <v>4.825</v>
      </c>
      <c r="E45" s="32">
        <f>D45*C45</f>
        <v>4.825</v>
      </c>
      <c r="F45" s="19"/>
      <c r="G45" s="19"/>
      <c r="H45" s="22"/>
    </row>
    <row r="46" ht="18.3" customHeight="1" spans="1:8">
      <c r="A46" s="18"/>
      <c r="B46" s="19" t="s">
        <v>74</v>
      </c>
      <c r="C46" s="19">
        <v>3</v>
      </c>
      <c r="D46" s="20">
        <v>1.8</v>
      </c>
      <c r="E46" s="32">
        <f t="shared" ref="E46:E52" si="3">D46*C46</f>
        <v>5.4</v>
      </c>
      <c r="F46" s="19"/>
      <c r="G46" s="19"/>
      <c r="H46" s="22"/>
    </row>
    <row r="47" ht="18.3" customHeight="1" spans="1:8">
      <c r="A47" s="18"/>
      <c r="B47" s="19" t="s">
        <v>75</v>
      </c>
      <c r="C47" s="19">
        <v>1</v>
      </c>
      <c r="D47" s="20">
        <v>0.46</v>
      </c>
      <c r="E47" s="32">
        <f t="shared" si="3"/>
        <v>0.46</v>
      </c>
      <c r="F47" s="19"/>
      <c r="G47" s="19"/>
      <c r="H47" s="22"/>
    </row>
    <row r="48" ht="18.3" customHeight="1" spans="1:8">
      <c r="A48" s="18"/>
      <c r="B48" s="19" t="s">
        <v>76</v>
      </c>
      <c r="C48" s="19">
        <v>1</v>
      </c>
      <c r="D48" s="20">
        <v>5</v>
      </c>
      <c r="E48" s="32">
        <f t="shared" si="3"/>
        <v>5</v>
      </c>
      <c r="F48" s="19"/>
      <c r="G48" s="19"/>
      <c r="H48" s="22"/>
    </row>
    <row r="49" ht="18.3" customHeight="1" spans="1:8">
      <c r="A49" s="18"/>
      <c r="B49" s="19" t="s">
        <v>77</v>
      </c>
      <c r="C49" s="19">
        <v>2</v>
      </c>
      <c r="D49" s="20">
        <v>1.2</v>
      </c>
      <c r="E49" s="32">
        <f t="shared" si="3"/>
        <v>2.4</v>
      </c>
      <c r="F49" s="19"/>
      <c r="G49" s="19"/>
      <c r="H49" s="22"/>
    </row>
    <row r="50" ht="18.3" customHeight="1" spans="1:8">
      <c r="A50" s="18"/>
      <c r="B50" s="19" t="s">
        <v>78</v>
      </c>
      <c r="C50" s="19">
        <v>1</v>
      </c>
      <c r="D50" s="20">
        <v>2.6</v>
      </c>
      <c r="E50" s="32">
        <f t="shared" si="3"/>
        <v>2.6</v>
      </c>
      <c r="F50" s="19"/>
      <c r="G50" s="19"/>
      <c r="H50" s="22"/>
    </row>
    <row r="51" ht="18.3" customHeight="1" spans="1:8">
      <c r="A51" s="18"/>
      <c r="B51" s="19" t="s">
        <v>79</v>
      </c>
      <c r="C51" s="19">
        <v>1</v>
      </c>
      <c r="D51" s="20">
        <v>3.6</v>
      </c>
      <c r="E51" s="32">
        <f t="shared" si="3"/>
        <v>3.6</v>
      </c>
      <c r="F51" s="19"/>
      <c r="G51" s="19"/>
      <c r="H51" s="22"/>
    </row>
    <row r="52" ht="18.3" customHeight="1" spans="1:8">
      <c r="A52" s="18">
        <v>21</v>
      </c>
      <c r="B52" s="18" t="s">
        <v>80</v>
      </c>
      <c r="C52" s="23">
        <v>3</v>
      </c>
      <c r="D52" s="23">
        <v>0.97</v>
      </c>
      <c r="E52" s="23">
        <f t="shared" si="3"/>
        <v>2.91</v>
      </c>
      <c r="F52" s="23"/>
      <c r="G52" s="23" t="s">
        <v>53</v>
      </c>
      <c r="H52" s="21" t="s">
        <v>29</v>
      </c>
    </row>
    <row r="53" ht="18.3" customHeight="1" spans="1:8">
      <c r="A53" s="18"/>
      <c r="B53" s="25" t="s">
        <v>38</v>
      </c>
      <c r="C53" s="27">
        <f>SUM(C20:C51)</f>
        <v>41</v>
      </c>
      <c r="D53" s="27"/>
      <c r="E53" s="27">
        <f>SUM(E20:E24,E25,E34,E44,E52,E43)</f>
        <v>151.9757</v>
      </c>
      <c r="F53" s="23"/>
      <c r="G53" s="23"/>
      <c r="H53" s="28"/>
    </row>
    <row r="54" ht="18.3" customHeight="1" spans="1:8">
      <c r="A54" s="16" t="s">
        <v>81</v>
      </c>
      <c r="B54" s="16" t="s">
        <v>82</v>
      </c>
      <c r="C54" s="17"/>
      <c r="D54" s="17"/>
      <c r="E54" s="17"/>
      <c r="F54" s="17"/>
      <c r="G54" s="17"/>
      <c r="H54" s="17"/>
    </row>
    <row r="55" ht="30.45" customHeight="1" spans="1:8">
      <c r="A55" s="18">
        <v>22</v>
      </c>
      <c r="B55" s="19" t="s">
        <v>83</v>
      </c>
      <c r="C55" s="19">
        <v>2</v>
      </c>
      <c r="D55" s="20">
        <v>22.4</v>
      </c>
      <c r="E55" s="20">
        <f t="shared" ref="E55:E60" si="4">D55*C55</f>
        <v>44.8</v>
      </c>
      <c r="F55" s="23"/>
      <c r="G55" s="23"/>
      <c r="H55" s="33" t="s">
        <v>17</v>
      </c>
    </row>
    <row r="56" ht="18.3" customHeight="1" spans="1:8">
      <c r="A56" s="18">
        <v>23</v>
      </c>
      <c r="B56" s="19" t="s">
        <v>84</v>
      </c>
      <c r="C56" s="19">
        <v>1</v>
      </c>
      <c r="D56" s="20">
        <v>0.35</v>
      </c>
      <c r="E56" s="20">
        <f t="shared" si="4"/>
        <v>0.35</v>
      </c>
      <c r="F56" s="19" t="s">
        <v>35</v>
      </c>
      <c r="G56" s="19" t="s">
        <v>36</v>
      </c>
      <c r="H56" s="34"/>
    </row>
    <row r="57" ht="18.3" customHeight="1" spans="1:8">
      <c r="A57" s="18">
        <v>24</v>
      </c>
      <c r="B57" s="19" t="s">
        <v>85</v>
      </c>
      <c r="C57" s="19">
        <v>1</v>
      </c>
      <c r="D57" s="20">
        <v>0.46</v>
      </c>
      <c r="E57" s="20">
        <f t="shared" si="4"/>
        <v>0.46</v>
      </c>
      <c r="F57" s="19" t="s">
        <v>15</v>
      </c>
      <c r="G57" s="19" t="s">
        <v>16</v>
      </c>
      <c r="H57" s="34"/>
    </row>
    <row r="58" ht="18.3" customHeight="1" spans="1:8">
      <c r="A58" s="18">
        <v>25</v>
      </c>
      <c r="B58" s="19" t="s">
        <v>86</v>
      </c>
      <c r="C58" s="19">
        <v>1</v>
      </c>
      <c r="D58" s="20">
        <v>0.94</v>
      </c>
      <c r="E58" s="20">
        <f t="shared" si="4"/>
        <v>0.94</v>
      </c>
      <c r="F58" s="19" t="s">
        <v>87</v>
      </c>
      <c r="G58" s="19" t="s">
        <v>53</v>
      </c>
      <c r="H58" s="34"/>
    </row>
    <row r="59" ht="18.3" customHeight="1" spans="1:8">
      <c r="A59" s="18">
        <v>26</v>
      </c>
      <c r="B59" s="19" t="s">
        <v>88</v>
      </c>
      <c r="C59" s="19">
        <v>1</v>
      </c>
      <c r="D59" s="20">
        <v>0.43</v>
      </c>
      <c r="E59" s="20">
        <f t="shared" si="4"/>
        <v>0.43</v>
      </c>
      <c r="F59" s="19" t="s">
        <v>35</v>
      </c>
      <c r="G59" s="19" t="s">
        <v>36</v>
      </c>
      <c r="H59" s="34"/>
    </row>
    <row r="60" ht="18.3" customHeight="1" spans="1:8">
      <c r="A60" s="18">
        <v>27</v>
      </c>
      <c r="B60" s="19" t="s">
        <v>88</v>
      </c>
      <c r="C60" s="19">
        <v>2</v>
      </c>
      <c r="D60" s="20">
        <v>0.39</v>
      </c>
      <c r="E60" s="20">
        <f t="shared" si="4"/>
        <v>0.78</v>
      </c>
      <c r="F60" s="19" t="s">
        <v>87</v>
      </c>
      <c r="G60" s="19" t="s">
        <v>89</v>
      </c>
      <c r="H60" s="34"/>
    </row>
    <row r="61" ht="18.3" customHeight="1" spans="1:8">
      <c r="A61" s="18">
        <v>28</v>
      </c>
      <c r="B61" s="19" t="s">
        <v>88</v>
      </c>
      <c r="C61" s="19">
        <v>1</v>
      </c>
      <c r="D61" s="20">
        <v>0.4</v>
      </c>
      <c r="E61" s="20">
        <v>1.78</v>
      </c>
      <c r="F61" s="19"/>
      <c r="G61" s="19"/>
      <c r="H61" s="34"/>
    </row>
    <row r="62" ht="18.3" customHeight="1" spans="1:8">
      <c r="A62" s="18">
        <v>29</v>
      </c>
      <c r="B62" s="19" t="s">
        <v>90</v>
      </c>
      <c r="C62" s="19">
        <v>1</v>
      </c>
      <c r="D62" s="20">
        <v>0.7</v>
      </c>
      <c r="E62" s="20">
        <f t="shared" ref="E62:E84" si="5">D62*C62</f>
        <v>0.7</v>
      </c>
      <c r="F62" s="19" t="s">
        <v>15</v>
      </c>
      <c r="G62" s="19" t="s">
        <v>16</v>
      </c>
      <c r="H62" s="34"/>
    </row>
    <row r="63" ht="18.3" customHeight="1" spans="1:8">
      <c r="A63" s="18">
        <v>30</v>
      </c>
      <c r="B63" s="19" t="s">
        <v>91</v>
      </c>
      <c r="C63" s="19">
        <v>1</v>
      </c>
      <c r="D63" s="20">
        <v>1.87</v>
      </c>
      <c r="E63" s="20">
        <f t="shared" si="5"/>
        <v>1.87</v>
      </c>
      <c r="F63" s="19" t="s">
        <v>92</v>
      </c>
      <c r="G63" s="19" t="s">
        <v>93</v>
      </c>
      <c r="H63" s="34"/>
    </row>
    <row r="64" ht="18.3" customHeight="1" spans="1:8">
      <c r="A64" s="18">
        <v>31</v>
      </c>
      <c r="B64" s="19" t="s">
        <v>94</v>
      </c>
      <c r="C64" s="19">
        <v>2</v>
      </c>
      <c r="D64" s="20">
        <v>2.04</v>
      </c>
      <c r="E64" s="20">
        <f t="shared" si="5"/>
        <v>4.08</v>
      </c>
      <c r="F64" s="19" t="s">
        <v>87</v>
      </c>
      <c r="G64" s="19" t="s">
        <v>53</v>
      </c>
      <c r="H64" s="34"/>
    </row>
    <row r="65" ht="18.3" customHeight="1" spans="1:8">
      <c r="A65" s="18">
        <v>32</v>
      </c>
      <c r="B65" s="19" t="s">
        <v>95</v>
      </c>
      <c r="C65" s="19">
        <v>1</v>
      </c>
      <c r="D65" s="20">
        <v>1.85</v>
      </c>
      <c r="E65" s="20">
        <f t="shared" si="5"/>
        <v>1.85</v>
      </c>
      <c r="F65" s="19" t="s">
        <v>87</v>
      </c>
      <c r="G65" s="19" t="s">
        <v>53</v>
      </c>
      <c r="H65" s="34"/>
    </row>
    <row r="66" ht="18.3" customHeight="1" spans="1:8">
      <c r="A66" s="18">
        <v>33</v>
      </c>
      <c r="B66" s="19" t="s">
        <v>96</v>
      </c>
      <c r="C66" s="19">
        <v>2</v>
      </c>
      <c r="D66" s="20">
        <v>7.21</v>
      </c>
      <c r="E66" s="20">
        <f t="shared" si="5"/>
        <v>14.42</v>
      </c>
      <c r="F66" s="23"/>
      <c r="G66" s="23"/>
      <c r="H66" s="34"/>
    </row>
    <row r="67" ht="18.3" customHeight="1" spans="1:8">
      <c r="A67" s="18">
        <v>34</v>
      </c>
      <c r="B67" s="19" t="s">
        <v>97</v>
      </c>
      <c r="C67" s="19">
        <v>2</v>
      </c>
      <c r="D67" s="20">
        <v>7.4</v>
      </c>
      <c r="E67" s="20">
        <f t="shared" si="5"/>
        <v>14.8</v>
      </c>
      <c r="F67" s="23"/>
      <c r="G67" s="23"/>
      <c r="H67" s="34"/>
    </row>
    <row r="68" ht="18.3" customHeight="1" spans="1:8">
      <c r="A68" s="18">
        <v>35</v>
      </c>
      <c r="B68" s="19" t="s">
        <v>98</v>
      </c>
      <c r="C68" s="19">
        <v>1</v>
      </c>
      <c r="D68" s="20">
        <v>3.1</v>
      </c>
      <c r="E68" s="20">
        <f t="shared" si="5"/>
        <v>3.1</v>
      </c>
      <c r="F68" s="19" t="s">
        <v>15</v>
      </c>
      <c r="G68" s="19" t="s">
        <v>16</v>
      </c>
      <c r="H68" s="34"/>
    </row>
    <row r="69" ht="18.3" customHeight="1" spans="1:8">
      <c r="A69" s="18">
        <v>36</v>
      </c>
      <c r="B69" s="19" t="s">
        <v>99</v>
      </c>
      <c r="C69" s="19">
        <v>1</v>
      </c>
      <c r="D69" s="20">
        <v>0.3</v>
      </c>
      <c r="E69" s="20">
        <f t="shared" si="5"/>
        <v>0.3</v>
      </c>
      <c r="F69" s="19" t="s">
        <v>35</v>
      </c>
      <c r="G69" s="19" t="s">
        <v>36</v>
      </c>
      <c r="H69" s="34"/>
    </row>
    <row r="70" ht="18.3" customHeight="1" spans="1:8">
      <c r="A70" s="18">
        <v>37</v>
      </c>
      <c r="B70" s="19" t="s">
        <v>100</v>
      </c>
      <c r="C70" s="19">
        <v>1</v>
      </c>
      <c r="D70" s="20">
        <v>0.46</v>
      </c>
      <c r="E70" s="20">
        <f t="shared" si="5"/>
        <v>0.46</v>
      </c>
      <c r="F70" s="19" t="s">
        <v>15</v>
      </c>
      <c r="G70" s="19" t="s">
        <v>16</v>
      </c>
      <c r="H70" s="34"/>
    </row>
    <row r="71" ht="18.3" customHeight="1" spans="1:8">
      <c r="A71" s="18">
        <v>38</v>
      </c>
      <c r="B71" s="19" t="s">
        <v>100</v>
      </c>
      <c r="C71" s="19">
        <v>1</v>
      </c>
      <c r="D71" s="20">
        <v>0.35</v>
      </c>
      <c r="E71" s="20">
        <f t="shared" si="5"/>
        <v>0.35</v>
      </c>
      <c r="F71" s="19" t="s">
        <v>101</v>
      </c>
      <c r="G71" s="19" t="s">
        <v>28</v>
      </c>
      <c r="H71" s="34"/>
    </row>
    <row r="72" ht="18.3" customHeight="1" spans="1:8">
      <c r="A72" s="18">
        <v>39</v>
      </c>
      <c r="B72" s="19" t="s">
        <v>102</v>
      </c>
      <c r="C72" s="19">
        <v>1</v>
      </c>
      <c r="D72" s="20">
        <v>0.55</v>
      </c>
      <c r="E72" s="20">
        <f t="shared" si="5"/>
        <v>0.55</v>
      </c>
      <c r="F72" s="19" t="s">
        <v>92</v>
      </c>
      <c r="G72" s="19" t="s">
        <v>93</v>
      </c>
      <c r="H72" s="34"/>
    </row>
    <row r="73" ht="18.3" customHeight="1" spans="1:8">
      <c r="A73" s="18">
        <v>40</v>
      </c>
      <c r="B73" s="19" t="s">
        <v>103</v>
      </c>
      <c r="C73" s="19">
        <v>1</v>
      </c>
      <c r="D73" s="20">
        <v>0.8</v>
      </c>
      <c r="E73" s="20">
        <f t="shared" si="5"/>
        <v>0.8</v>
      </c>
      <c r="F73" s="19" t="s">
        <v>92</v>
      </c>
      <c r="G73" s="19" t="s">
        <v>93</v>
      </c>
      <c r="H73" s="34"/>
    </row>
    <row r="74" ht="18.3" customHeight="1" spans="1:8">
      <c r="A74" s="18">
        <v>41</v>
      </c>
      <c r="B74" s="19" t="s">
        <v>104</v>
      </c>
      <c r="C74" s="19">
        <v>1</v>
      </c>
      <c r="D74" s="20">
        <v>0.42</v>
      </c>
      <c r="E74" s="20">
        <f t="shared" si="5"/>
        <v>0.42</v>
      </c>
      <c r="F74" s="19" t="s">
        <v>92</v>
      </c>
      <c r="G74" s="19" t="s">
        <v>93</v>
      </c>
      <c r="H74" s="34"/>
    </row>
    <row r="75" ht="18.3" customHeight="1" spans="1:8">
      <c r="A75" s="18">
        <v>42</v>
      </c>
      <c r="B75" s="19" t="s">
        <v>105</v>
      </c>
      <c r="C75" s="19">
        <v>1</v>
      </c>
      <c r="D75" s="20">
        <v>0.26</v>
      </c>
      <c r="E75" s="20">
        <f t="shared" si="5"/>
        <v>0.26</v>
      </c>
      <c r="F75" s="19" t="s">
        <v>92</v>
      </c>
      <c r="G75" s="19" t="s">
        <v>93</v>
      </c>
      <c r="H75" s="34"/>
    </row>
    <row r="76" ht="18.3" customHeight="1" spans="1:8">
      <c r="A76" s="18">
        <v>43</v>
      </c>
      <c r="B76" s="19" t="s">
        <v>106</v>
      </c>
      <c r="C76" s="19">
        <v>1</v>
      </c>
      <c r="D76" s="20">
        <v>0.42</v>
      </c>
      <c r="E76" s="20">
        <f t="shared" si="5"/>
        <v>0.42</v>
      </c>
      <c r="F76" s="19" t="s">
        <v>92</v>
      </c>
      <c r="G76" s="19" t="s">
        <v>93</v>
      </c>
      <c r="H76" s="34"/>
    </row>
    <row r="77" ht="18.3" customHeight="1" spans="1:8">
      <c r="A77" s="18">
        <v>44</v>
      </c>
      <c r="B77" s="19" t="s">
        <v>107</v>
      </c>
      <c r="C77" s="19">
        <v>1</v>
      </c>
      <c r="D77" s="20">
        <v>0.26</v>
      </c>
      <c r="E77" s="20">
        <f t="shared" si="5"/>
        <v>0.26</v>
      </c>
      <c r="F77" s="19" t="s">
        <v>92</v>
      </c>
      <c r="G77" s="19" t="s">
        <v>93</v>
      </c>
      <c r="H77" s="34"/>
    </row>
    <row r="78" ht="18.3" customHeight="1" spans="1:8">
      <c r="A78" s="18">
        <v>45</v>
      </c>
      <c r="B78" s="19" t="s">
        <v>108</v>
      </c>
      <c r="C78" s="19">
        <v>1</v>
      </c>
      <c r="D78" s="20">
        <v>0.4</v>
      </c>
      <c r="E78" s="20">
        <f t="shared" si="5"/>
        <v>0.4</v>
      </c>
      <c r="F78" s="19" t="s">
        <v>92</v>
      </c>
      <c r="G78" s="19" t="s">
        <v>93</v>
      </c>
      <c r="H78" s="34"/>
    </row>
    <row r="79" ht="18.3" customHeight="1" spans="1:8">
      <c r="A79" s="18">
        <v>46</v>
      </c>
      <c r="B79" s="19" t="s">
        <v>109</v>
      </c>
      <c r="C79" s="19">
        <v>1</v>
      </c>
      <c r="D79" s="20">
        <v>0.6</v>
      </c>
      <c r="E79" s="20">
        <f t="shared" si="5"/>
        <v>0.6</v>
      </c>
      <c r="F79" s="19" t="s">
        <v>35</v>
      </c>
      <c r="G79" s="19" t="s">
        <v>36</v>
      </c>
      <c r="H79" s="34"/>
    </row>
    <row r="80" ht="30.75" customHeight="1" spans="1:8">
      <c r="A80" s="18">
        <v>47</v>
      </c>
      <c r="B80" s="19" t="s">
        <v>110</v>
      </c>
      <c r="C80" s="19">
        <v>1</v>
      </c>
      <c r="D80" s="20">
        <v>6</v>
      </c>
      <c r="E80" s="20">
        <f t="shared" si="5"/>
        <v>6</v>
      </c>
      <c r="F80" s="19" t="s">
        <v>87</v>
      </c>
      <c r="G80" s="19" t="s">
        <v>53</v>
      </c>
      <c r="H80" s="34"/>
    </row>
    <row r="81" ht="18.3" customHeight="1" spans="1:8">
      <c r="A81" s="18">
        <v>48</v>
      </c>
      <c r="B81" s="19" t="s">
        <v>111</v>
      </c>
      <c r="C81" s="19">
        <v>2</v>
      </c>
      <c r="D81" s="20">
        <v>1.7</v>
      </c>
      <c r="E81" s="20">
        <f t="shared" si="5"/>
        <v>3.4</v>
      </c>
      <c r="F81" s="19" t="s">
        <v>87</v>
      </c>
      <c r="G81" s="19" t="s">
        <v>53</v>
      </c>
      <c r="H81" s="34"/>
    </row>
    <row r="82" ht="18.3" customHeight="1" spans="1:8">
      <c r="A82" s="18">
        <v>49</v>
      </c>
      <c r="B82" s="19" t="s">
        <v>111</v>
      </c>
      <c r="C82" s="19">
        <v>3</v>
      </c>
      <c r="D82" s="20">
        <v>1.5</v>
      </c>
      <c r="E82" s="20">
        <f t="shared" si="5"/>
        <v>4.5</v>
      </c>
      <c r="F82" s="19" t="s">
        <v>87</v>
      </c>
      <c r="G82" s="19" t="s">
        <v>53</v>
      </c>
      <c r="H82" s="34"/>
    </row>
    <row r="83" ht="18.3" customHeight="1" spans="1:8">
      <c r="A83" s="18">
        <v>50</v>
      </c>
      <c r="B83" s="19" t="s">
        <v>111</v>
      </c>
      <c r="C83" s="19">
        <v>2</v>
      </c>
      <c r="D83" s="20">
        <v>0.85</v>
      </c>
      <c r="E83" s="20">
        <f t="shared" si="5"/>
        <v>1.7</v>
      </c>
      <c r="F83" s="19" t="s">
        <v>87</v>
      </c>
      <c r="G83" s="19" t="s">
        <v>53</v>
      </c>
      <c r="H83" s="34"/>
    </row>
    <row r="84" ht="18.3" customHeight="1" spans="1:8">
      <c r="A84" s="18">
        <v>51</v>
      </c>
      <c r="B84" s="19" t="s">
        <v>112</v>
      </c>
      <c r="C84" s="19">
        <v>2</v>
      </c>
      <c r="D84" s="20">
        <v>0.273</v>
      </c>
      <c r="E84" s="20">
        <f t="shared" si="5"/>
        <v>0.546</v>
      </c>
      <c r="F84" s="19" t="s">
        <v>87</v>
      </c>
      <c r="G84" s="19" t="s">
        <v>53</v>
      </c>
      <c r="H84" s="36"/>
    </row>
    <row r="85" ht="18.3" customHeight="1" spans="1:8">
      <c r="A85" s="18"/>
      <c r="B85" s="25" t="s">
        <v>38</v>
      </c>
      <c r="C85" s="26">
        <f>SUM(C55:C84)</f>
        <v>40</v>
      </c>
      <c r="D85" s="26"/>
      <c r="E85" s="27">
        <f>SUM(E55:E84)</f>
        <v>111.326</v>
      </c>
      <c r="F85" s="23"/>
      <c r="G85" s="23"/>
      <c r="H85" s="28"/>
    </row>
    <row r="86" ht="18.3" customHeight="1" spans="1:8">
      <c r="A86" s="16" t="s">
        <v>113</v>
      </c>
      <c r="B86" s="16" t="s">
        <v>114</v>
      </c>
      <c r="C86" s="16"/>
      <c r="D86" s="17"/>
      <c r="E86" s="17"/>
      <c r="F86" s="17"/>
      <c r="G86" s="17"/>
      <c r="H86" s="17"/>
    </row>
    <row r="87" ht="18.3" customHeight="1" spans="1:8">
      <c r="A87" s="18">
        <v>52</v>
      </c>
      <c r="B87" s="19" t="s">
        <v>115</v>
      </c>
      <c r="C87" s="19">
        <v>1</v>
      </c>
      <c r="D87" s="20">
        <v>3.8</v>
      </c>
      <c r="E87" s="20">
        <f>D87*C87</f>
        <v>3.8</v>
      </c>
      <c r="F87" s="19" t="s">
        <v>116</v>
      </c>
      <c r="G87" s="19" t="s">
        <v>28</v>
      </c>
      <c r="H87" s="33" t="s">
        <v>17</v>
      </c>
    </row>
    <row r="88" ht="18.3" customHeight="1" spans="1:8">
      <c r="A88" s="18">
        <v>53</v>
      </c>
      <c r="B88" s="19" t="s">
        <v>117</v>
      </c>
      <c r="C88" s="19">
        <v>1</v>
      </c>
      <c r="D88" s="20">
        <v>8.69</v>
      </c>
      <c r="E88" s="20">
        <f t="shared" ref="E88:E103" si="6">D88*C88</f>
        <v>8.69</v>
      </c>
      <c r="F88" s="19" t="s">
        <v>87</v>
      </c>
      <c r="G88" s="19" t="s">
        <v>53</v>
      </c>
      <c r="H88" s="34"/>
    </row>
    <row r="89" ht="18.3" customHeight="1" spans="1:8">
      <c r="A89" s="18">
        <v>54</v>
      </c>
      <c r="B89" s="19" t="s">
        <v>118</v>
      </c>
      <c r="C89" s="19">
        <v>1</v>
      </c>
      <c r="D89" s="20">
        <v>0.21</v>
      </c>
      <c r="E89" s="20">
        <f t="shared" si="6"/>
        <v>0.21</v>
      </c>
      <c r="F89" s="19" t="s">
        <v>35</v>
      </c>
      <c r="G89" s="19" t="s">
        <v>36</v>
      </c>
      <c r="H89" s="34"/>
    </row>
    <row r="90" ht="18.3" customHeight="1" spans="1:8">
      <c r="A90" s="18">
        <v>55</v>
      </c>
      <c r="B90" s="19" t="s">
        <v>119</v>
      </c>
      <c r="C90" s="19">
        <v>1</v>
      </c>
      <c r="D90" s="20">
        <v>0.14</v>
      </c>
      <c r="E90" s="20">
        <f t="shared" si="6"/>
        <v>0.14</v>
      </c>
      <c r="F90" s="19" t="s">
        <v>35</v>
      </c>
      <c r="G90" s="19" t="s">
        <v>36</v>
      </c>
      <c r="H90" s="34"/>
    </row>
    <row r="91" ht="18.3" customHeight="1" spans="1:8">
      <c r="A91" s="18">
        <v>56</v>
      </c>
      <c r="B91" s="19" t="s">
        <v>120</v>
      </c>
      <c r="C91" s="19">
        <v>1</v>
      </c>
      <c r="D91" s="20">
        <v>0.24</v>
      </c>
      <c r="E91" s="20">
        <f t="shared" si="6"/>
        <v>0.24</v>
      </c>
      <c r="F91" s="19" t="s">
        <v>92</v>
      </c>
      <c r="G91" s="19" t="s">
        <v>89</v>
      </c>
      <c r="H91" s="34"/>
    </row>
    <row r="92" ht="18.3" customHeight="1" spans="1:8">
      <c r="A92" s="18">
        <v>57</v>
      </c>
      <c r="B92" s="19" t="s">
        <v>121</v>
      </c>
      <c r="C92" s="19">
        <v>1</v>
      </c>
      <c r="D92" s="20">
        <v>0.8</v>
      </c>
      <c r="E92" s="20">
        <f t="shared" si="6"/>
        <v>0.8</v>
      </c>
      <c r="F92" s="19" t="s">
        <v>15</v>
      </c>
      <c r="G92" s="19" t="s">
        <v>16</v>
      </c>
      <c r="H92" s="34"/>
    </row>
    <row r="93" ht="18.3" customHeight="1" spans="1:8">
      <c r="A93" s="18">
        <v>58</v>
      </c>
      <c r="B93" s="19" t="s">
        <v>122</v>
      </c>
      <c r="C93" s="19">
        <v>1</v>
      </c>
      <c r="D93" s="20">
        <v>0.35</v>
      </c>
      <c r="E93" s="20">
        <f t="shared" si="6"/>
        <v>0.35</v>
      </c>
      <c r="F93" s="19" t="s">
        <v>92</v>
      </c>
      <c r="G93" s="19" t="s">
        <v>93</v>
      </c>
      <c r="H93" s="34"/>
    </row>
    <row r="94" ht="18.3" customHeight="1" spans="1:8">
      <c r="A94" s="18">
        <v>59</v>
      </c>
      <c r="B94" s="19" t="s">
        <v>123</v>
      </c>
      <c r="C94" s="19">
        <v>2</v>
      </c>
      <c r="D94" s="20">
        <v>20</v>
      </c>
      <c r="E94" s="20">
        <f t="shared" si="6"/>
        <v>40</v>
      </c>
      <c r="F94" s="19" t="s">
        <v>87</v>
      </c>
      <c r="G94" s="19" t="s">
        <v>53</v>
      </c>
      <c r="H94" s="34"/>
    </row>
    <row r="95" ht="18.3" customHeight="1" spans="1:8">
      <c r="A95" s="18">
        <v>60</v>
      </c>
      <c r="B95" s="19" t="s">
        <v>124</v>
      </c>
      <c r="C95" s="19">
        <v>2</v>
      </c>
      <c r="D95" s="20">
        <v>23</v>
      </c>
      <c r="E95" s="20">
        <f t="shared" si="6"/>
        <v>46</v>
      </c>
      <c r="F95" s="19" t="s">
        <v>87</v>
      </c>
      <c r="G95" s="19" t="s">
        <v>53</v>
      </c>
      <c r="H95" s="34"/>
    </row>
    <row r="96" ht="18.3" customHeight="1" spans="1:8">
      <c r="A96" s="18">
        <v>61</v>
      </c>
      <c r="B96" s="19" t="s">
        <v>125</v>
      </c>
      <c r="C96" s="19">
        <v>5</v>
      </c>
      <c r="D96" s="20">
        <v>6.3</v>
      </c>
      <c r="E96" s="20">
        <f t="shared" si="6"/>
        <v>31.5</v>
      </c>
      <c r="F96" s="23"/>
      <c r="G96" s="23"/>
      <c r="H96" s="34"/>
    </row>
    <row r="97" ht="18.3" customHeight="1" spans="1:8">
      <c r="A97" s="18">
        <v>62</v>
      </c>
      <c r="B97" s="19" t="s">
        <v>126</v>
      </c>
      <c r="C97" s="19">
        <v>5</v>
      </c>
      <c r="D97" s="20">
        <v>1</v>
      </c>
      <c r="E97" s="20">
        <f t="shared" si="6"/>
        <v>5</v>
      </c>
      <c r="F97" s="23"/>
      <c r="G97" s="23"/>
      <c r="H97" s="34"/>
    </row>
    <row r="98" ht="18.3" customHeight="1" spans="1:8">
      <c r="A98" s="18">
        <v>63</v>
      </c>
      <c r="B98" s="19" t="s">
        <v>127</v>
      </c>
      <c r="C98" s="19">
        <v>1</v>
      </c>
      <c r="D98" s="20">
        <v>0.5</v>
      </c>
      <c r="E98" s="20">
        <f t="shared" si="6"/>
        <v>0.5</v>
      </c>
      <c r="F98" s="23"/>
      <c r="G98" s="23"/>
      <c r="H98" s="34"/>
    </row>
    <row r="99" ht="18.3" customHeight="1" spans="1:8">
      <c r="A99" s="18">
        <v>64</v>
      </c>
      <c r="B99" s="19" t="s">
        <v>128</v>
      </c>
      <c r="C99" s="19">
        <v>2</v>
      </c>
      <c r="D99" s="20">
        <v>0.24</v>
      </c>
      <c r="E99" s="20">
        <f t="shared" si="6"/>
        <v>0.48</v>
      </c>
      <c r="F99" s="19" t="s">
        <v>129</v>
      </c>
      <c r="G99" s="19" t="s">
        <v>130</v>
      </c>
      <c r="H99" s="34"/>
    </row>
    <row r="100" ht="18.3" customHeight="1" spans="1:8">
      <c r="A100" s="18">
        <v>65</v>
      </c>
      <c r="B100" s="19" t="s">
        <v>131</v>
      </c>
      <c r="C100" s="19">
        <v>2</v>
      </c>
      <c r="D100" s="20">
        <v>0.34</v>
      </c>
      <c r="E100" s="20">
        <f t="shared" si="6"/>
        <v>0.68</v>
      </c>
      <c r="F100" s="19" t="s">
        <v>132</v>
      </c>
      <c r="G100" s="19" t="s">
        <v>28</v>
      </c>
      <c r="H100" s="34"/>
    </row>
    <row r="101" ht="18.3" customHeight="1" spans="1:8">
      <c r="A101" s="18">
        <v>66</v>
      </c>
      <c r="B101" s="19" t="s">
        <v>133</v>
      </c>
      <c r="C101" s="19">
        <v>1</v>
      </c>
      <c r="D101" s="20">
        <v>0.22</v>
      </c>
      <c r="E101" s="20">
        <f t="shared" si="6"/>
        <v>0.22</v>
      </c>
      <c r="F101" s="19" t="s">
        <v>92</v>
      </c>
      <c r="G101" s="19" t="s">
        <v>93</v>
      </c>
      <c r="H101" s="34"/>
    </row>
    <row r="102" ht="18.3" customHeight="1" spans="1:8">
      <c r="A102" s="18">
        <v>67</v>
      </c>
      <c r="B102" s="19" t="s">
        <v>134</v>
      </c>
      <c r="C102" s="19">
        <v>1</v>
      </c>
      <c r="D102" s="20">
        <v>45</v>
      </c>
      <c r="E102" s="20">
        <f t="shared" si="6"/>
        <v>45</v>
      </c>
      <c r="F102" s="19" t="s">
        <v>87</v>
      </c>
      <c r="G102" s="19" t="s">
        <v>20</v>
      </c>
      <c r="H102" s="34"/>
    </row>
    <row r="103" ht="18.3" customHeight="1" spans="1:8">
      <c r="A103" s="18">
        <v>68</v>
      </c>
      <c r="B103" s="19" t="s">
        <v>135</v>
      </c>
      <c r="C103" s="19">
        <v>1</v>
      </c>
      <c r="D103" s="20">
        <v>8.89</v>
      </c>
      <c r="E103" s="20">
        <f t="shared" si="6"/>
        <v>8.89</v>
      </c>
      <c r="F103" s="19" t="s">
        <v>87</v>
      </c>
      <c r="G103" s="19" t="s">
        <v>53</v>
      </c>
      <c r="H103" s="36"/>
    </row>
    <row r="104" ht="18.3" customHeight="1" spans="1:8">
      <c r="A104" s="18"/>
      <c r="B104" s="25" t="s">
        <v>38</v>
      </c>
      <c r="C104" s="26">
        <f>SUM(C87:C103)</f>
        <v>29</v>
      </c>
      <c r="D104" s="26"/>
      <c r="E104" s="27">
        <f>SUM(E87:E103)</f>
        <v>192.5</v>
      </c>
      <c r="F104" s="23"/>
      <c r="G104" s="23"/>
      <c r="H104" s="28"/>
    </row>
    <row r="105" ht="18.3" customHeight="1" spans="1:8">
      <c r="A105" s="16" t="s">
        <v>136</v>
      </c>
      <c r="B105" s="16" t="s">
        <v>137</v>
      </c>
      <c r="C105" s="16"/>
      <c r="D105" s="17"/>
      <c r="E105" s="17"/>
      <c r="F105" s="17"/>
      <c r="G105" s="17"/>
      <c r="H105" s="17"/>
    </row>
    <row r="106" ht="18.3" customHeight="1" spans="1:8">
      <c r="A106" s="18">
        <v>69</v>
      </c>
      <c r="B106" s="19" t="s">
        <v>138</v>
      </c>
      <c r="C106" s="19">
        <v>11</v>
      </c>
      <c r="D106" s="20">
        <v>2</v>
      </c>
      <c r="E106" s="20">
        <f>D106*C106</f>
        <v>22</v>
      </c>
      <c r="F106" s="19" t="s">
        <v>87</v>
      </c>
      <c r="G106" s="19" t="s">
        <v>53</v>
      </c>
      <c r="H106" s="33" t="s">
        <v>17</v>
      </c>
    </row>
    <row r="107" ht="18.3" customHeight="1" spans="1:8">
      <c r="A107" s="18">
        <v>70</v>
      </c>
      <c r="B107" s="19" t="s">
        <v>139</v>
      </c>
      <c r="C107" s="19">
        <v>1</v>
      </c>
      <c r="D107" s="20">
        <v>3.25</v>
      </c>
      <c r="E107" s="20">
        <f t="shared" ref="E107:E119" si="7">D107*C107</f>
        <v>3.25</v>
      </c>
      <c r="F107" s="19" t="s">
        <v>140</v>
      </c>
      <c r="G107" s="19" t="s">
        <v>141</v>
      </c>
      <c r="H107" s="34"/>
    </row>
    <row r="108" ht="18.3" customHeight="1" spans="1:8">
      <c r="A108" s="18">
        <v>71</v>
      </c>
      <c r="B108" s="19" t="s">
        <v>142</v>
      </c>
      <c r="C108" s="19">
        <v>1</v>
      </c>
      <c r="D108" s="20">
        <v>118</v>
      </c>
      <c r="E108" s="20">
        <f t="shared" si="7"/>
        <v>118</v>
      </c>
      <c r="F108" s="19" t="s">
        <v>87</v>
      </c>
      <c r="G108" s="19" t="s">
        <v>53</v>
      </c>
      <c r="H108" s="34"/>
    </row>
    <row r="109" ht="18.3" customHeight="1" spans="1:8">
      <c r="A109" s="18">
        <v>72</v>
      </c>
      <c r="B109" s="19" t="s">
        <v>143</v>
      </c>
      <c r="C109" s="19">
        <v>1</v>
      </c>
      <c r="D109" s="20">
        <v>21</v>
      </c>
      <c r="E109" s="20">
        <f t="shared" si="7"/>
        <v>21</v>
      </c>
      <c r="F109" s="19" t="s">
        <v>144</v>
      </c>
      <c r="G109" s="19" t="s">
        <v>145</v>
      </c>
      <c r="H109" s="36"/>
    </row>
    <row r="110" ht="18.3" customHeight="1" spans="1:8">
      <c r="A110" s="18">
        <v>73</v>
      </c>
      <c r="B110" s="18" t="s">
        <v>146</v>
      </c>
      <c r="C110" s="18">
        <v>1</v>
      </c>
      <c r="D110" s="23">
        <v>1</v>
      </c>
      <c r="E110" s="20">
        <f t="shared" si="7"/>
        <v>1</v>
      </c>
      <c r="F110" s="19" t="s">
        <v>35</v>
      </c>
      <c r="G110" s="19" t="s">
        <v>36</v>
      </c>
      <c r="H110" s="21" t="s">
        <v>29</v>
      </c>
    </row>
    <row r="111" ht="18.3" customHeight="1" spans="1:8">
      <c r="A111" s="18">
        <v>74</v>
      </c>
      <c r="B111" s="18" t="s">
        <v>147</v>
      </c>
      <c r="C111" s="18">
        <v>2</v>
      </c>
      <c r="D111" s="23">
        <v>0.36</v>
      </c>
      <c r="E111" s="20">
        <f t="shared" si="7"/>
        <v>0.72</v>
      </c>
      <c r="F111" s="19" t="s">
        <v>87</v>
      </c>
      <c r="G111" s="19" t="s">
        <v>53</v>
      </c>
      <c r="H111" s="22"/>
    </row>
    <row r="112" ht="18.3" customHeight="1" spans="1:8">
      <c r="A112" s="18">
        <v>75</v>
      </c>
      <c r="B112" s="18" t="s">
        <v>148</v>
      </c>
      <c r="C112" s="18">
        <v>3</v>
      </c>
      <c r="D112" s="23">
        <v>0.25</v>
      </c>
      <c r="E112" s="20">
        <f t="shared" si="7"/>
        <v>0.75</v>
      </c>
      <c r="F112" s="19" t="s">
        <v>87</v>
      </c>
      <c r="G112" s="19" t="s">
        <v>53</v>
      </c>
      <c r="H112" s="22"/>
    </row>
    <row r="113" ht="18.3" customHeight="1" spans="1:8">
      <c r="A113" s="18">
        <v>76</v>
      </c>
      <c r="B113" s="18" t="s">
        <v>149</v>
      </c>
      <c r="C113" s="18">
        <v>1</v>
      </c>
      <c r="D113" s="23">
        <v>4.5</v>
      </c>
      <c r="E113" s="20">
        <f t="shared" si="7"/>
        <v>4.5</v>
      </c>
      <c r="F113" s="19" t="s">
        <v>87</v>
      </c>
      <c r="G113" s="19" t="s">
        <v>20</v>
      </c>
      <c r="H113" s="22"/>
    </row>
    <row r="114" ht="18.3" customHeight="1" spans="1:8">
      <c r="A114" s="18">
        <v>77</v>
      </c>
      <c r="B114" s="18" t="s">
        <v>150</v>
      </c>
      <c r="C114" s="18">
        <v>1</v>
      </c>
      <c r="D114" s="23">
        <v>85</v>
      </c>
      <c r="E114" s="20">
        <f t="shared" si="7"/>
        <v>85</v>
      </c>
      <c r="F114" s="19" t="s">
        <v>87</v>
      </c>
      <c r="G114" s="19" t="s">
        <v>53</v>
      </c>
      <c r="H114" s="22"/>
    </row>
    <row r="115" ht="18.3" customHeight="1" spans="1:8">
      <c r="A115" s="18">
        <v>78</v>
      </c>
      <c r="B115" s="18" t="s">
        <v>151</v>
      </c>
      <c r="C115" s="18">
        <v>1</v>
      </c>
      <c r="D115" s="23">
        <v>72</v>
      </c>
      <c r="E115" s="20">
        <f t="shared" si="7"/>
        <v>72</v>
      </c>
      <c r="F115" s="19" t="s">
        <v>87</v>
      </c>
      <c r="G115" s="19" t="s">
        <v>53</v>
      </c>
      <c r="H115" s="22"/>
    </row>
    <row r="116" ht="18.3" customHeight="1" spans="1:8">
      <c r="A116" s="18">
        <v>79</v>
      </c>
      <c r="B116" s="18" t="s">
        <v>152</v>
      </c>
      <c r="C116" s="18">
        <v>2</v>
      </c>
      <c r="D116" s="23">
        <v>2.05</v>
      </c>
      <c r="E116" s="20">
        <f t="shared" si="7"/>
        <v>4.1</v>
      </c>
      <c r="F116" s="19" t="s">
        <v>87</v>
      </c>
      <c r="G116" s="19" t="s">
        <v>53</v>
      </c>
      <c r="H116" s="22"/>
    </row>
    <row r="117" ht="18.3" customHeight="1" spans="1:8">
      <c r="A117" s="18">
        <v>80</v>
      </c>
      <c r="B117" s="18" t="s">
        <v>153</v>
      </c>
      <c r="C117" s="18">
        <v>1</v>
      </c>
      <c r="D117" s="23">
        <v>9.01</v>
      </c>
      <c r="E117" s="20">
        <f t="shared" si="7"/>
        <v>9.01</v>
      </c>
      <c r="F117" s="19" t="s">
        <v>87</v>
      </c>
      <c r="G117" s="19" t="s">
        <v>53</v>
      </c>
      <c r="H117" s="22"/>
    </row>
    <row r="118" ht="18.3" customHeight="1" spans="1:8">
      <c r="A118" s="18">
        <v>81</v>
      </c>
      <c r="B118" s="18" t="s">
        <v>154</v>
      </c>
      <c r="C118" s="18">
        <v>1</v>
      </c>
      <c r="D118" s="23">
        <v>9.83</v>
      </c>
      <c r="E118" s="20">
        <f t="shared" si="7"/>
        <v>9.83</v>
      </c>
      <c r="F118" s="19" t="s">
        <v>87</v>
      </c>
      <c r="G118" s="19" t="s">
        <v>53</v>
      </c>
      <c r="H118" s="22"/>
    </row>
    <row r="119" ht="18.3" customHeight="1" spans="1:8">
      <c r="A119" s="18">
        <v>82</v>
      </c>
      <c r="B119" s="18" t="s">
        <v>155</v>
      </c>
      <c r="C119" s="18">
        <v>1</v>
      </c>
      <c r="D119" s="23">
        <v>0.67</v>
      </c>
      <c r="E119" s="20">
        <f t="shared" si="7"/>
        <v>0.67</v>
      </c>
      <c r="F119" s="19" t="s">
        <v>87</v>
      </c>
      <c r="G119" s="19" t="s">
        <v>53</v>
      </c>
      <c r="H119" s="22"/>
    </row>
    <row r="120" ht="18.3" customHeight="1" spans="1:8">
      <c r="A120" s="18"/>
      <c r="B120" s="25" t="s">
        <v>38</v>
      </c>
      <c r="C120" s="26">
        <f>SUM(C106:C109)</f>
        <v>14</v>
      </c>
      <c r="D120" s="26"/>
      <c r="E120" s="27">
        <f>SUM(E106:E119)</f>
        <v>351.83</v>
      </c>
      <c r="F120" s="23"/>
      <c r="G120" s="23"/>
      <c r="H120" s="28"/>
    </row>
    <row r="121" ht="18.3" customHeight="1" spans="1:8">
      <c r="A121" s="16" t="s">
        <v>156</v>
      </c>
      <c r="B121" s="16" t="s">
        <v>157</v>
      </c>
      <c r="C121" s="16"/>
      <c r="D121" s="17"/>
      <c r="E121" s="17"/>
      <c r="F121" s="17"/>
      <c r="G121" s="17"/>
      <c r="H121" s="17"/>
    </row>
    <row r="122" ht="18.3" customHeight="1" spans="1:8">
      <c r="A122" s="18">
        <v>83</v>
      </c>
      <c r="B122" s="19" t="s">
        <v>158</v>
      </c>
      <c r="C122" s="19">
        <v>1</v>
      </c>
      <c r="D122" s="20">
        <v>19.8</v>
      </c>
      <c r="E122" s="20">
        <v>19.8</v>
      </c>
      <c r="F122" s="19" t="s">
        <v>87</v>
      </c>
      <c r="G122" s="19" t="s">
        <v>159</v>
      </c>
      <c r="H122" s="33" t="s">
        <v>17</v>
      </c>
    </row>
    <row r="123" ht="18.3" customHeight="1" spans="1:8">
      <c r="A123" s="18">
        <v>84</v>
      </c>
      <c r="B123" s="19" t="s">
        <v>158</v>
      </c>
      <c r="C123" s="19">
        <v>1</v>
      </c>
      <c r="D123" s="20">
        <v>24</v>
      </c>
      <c r="E123" s="20">
        <v>24</v>
      </c>
      <c r="F123" s="19" t="s">
        <v>87</v>
      </c>
      <c r="G123" s="19" t="s">
        <v>159</v>
      </c>
      <c r="H123" s="34"/>
    </row>
    <row r="124" ht="18.3" customHeight="1" spans="1:8">
      <c r="A124" s="18">
        <v>85</v>
      </c>
      <c r="B124" s="19" t="s">
        <v>160</v>
      </c>
      <c r="C124" s="19">
        <v>1</v>
      </c>
      <c r="D124" s="20">
        <v>129.8</v>
      </c>
      <c r="E124" s="20">
        <v>129.8</v>
      </c>
      <c r="F124" s="19" t="s">
        <v>87</v>
      </c>
      <c r="G124" s="19" t="s">
        <v>159</v>
      </c>
      <c r="H124" s="34"/>
    </row>
    <row r="125" ht="18.3" customHeight="1" spans="1:8">
      <c r="A125" s="18">
        <v>86</v>
      </c>
      <c r="B125" s="19" t="s">
        <v>161</v>
      </c>
      <c r="C125" s="19">
        <v>1</v>
      </c>
      <c r="D125" s="20">
        <v>84</v>
      </c>
      <c r="E125" s="20">
        <v>84</v>
      </c>
      <c r="F125" s="19" t="s">
        <v>87</v>
      </c>
      <c r="G125" s="19" t="s">
        <v>20</v>
      </c>
      <c r="H125" s="34"/>
    </row>
    <row r="126" ht="18.3" customHeight="1" spans="1:8">
      <c r="A126" s="18">
        <v>87</v>
      </c>
      <c r="B126" s="19" t="s">
        <v>162</v>
      </c>
      <c r="C126" s="19">
        <v>2</v>
      </c>
      <c r="D126" s="20">
        <v>21.8</v>
      </c>
      <c r="E126" s="20">
        <v>43.6</v>
      </c>
      <c r="F126" s="19" t="s">
        <v>87</v>
      </c>
      <c r="G126" s="19" t="s">
        <v>159</v>
      </c>
      <c r="H126" s="34"/>
    </row>
    <row r="127" ht="18.3" customHeight="1" spans="1:8">
      <c r="A127" s="18">
        <v>88</v>
      </c>
      <c r="B127" s="19" t="s">
        <v>163</v>
      </c>
      <c r="C127" s="19">
        <v>1</v>
      </c>
      <c r="D127" s="20">
        <v>138.5</v>
      </c>
      <c r="E127" s="20">
        <v>138.5</v>
      </c>
      <c r="F127" s="19" t="s">
        <v>87</v>
      </c>
      <c r="G127" s="19" t="s">
        <v>159</v>
      </c>
      <c r="H127" s="34"/>
    </row>
    <row r="128" ht="18.3" customHeight="1" spans="1:8">
      <c r="A128" s="18">
        <v>89</v>
      </c>
      <c r="B128" s="19" t="s">
        <v>164</v>
      </c>
      <c r="C128" s="19">
        <v>1</v>
      </c>
      <c r="D128" s="20">
        <v>12</v>
      </c>
      <c r="E128" s="20">
        <v>12</v>
      </c>
      <c r="F128" s="19" t="s">
        <v>87</v>
      </c>
      <c r="G128" s="19" t="s">
        <v>159</v>
      </c>
      <c r="H128" s="34"/>
    </row>
    <row r="129" ht="18.3" customHeight="1" spans="1:8">
      <c r="A129" s="18">
        <v>90</v>
      </c>
      <c r="B129" s="19" t="s">
        <v>165</v>
      </c>
      <c r="C129" s="19">
        <v>2</v>
      </c>
      <c r="D129" s="20">
        <v>8</v>
      </c>
      <c r="E129" s="20">
        <v>16</v>
      </c>
      <c r="F129" s="19" t="s">
        <v>166</v>
      </c>
      <c r="G129" s="19" t="s">
        <v>159</v>
      </c>
      <c r="H129" s="34"/>
    </row>
    <row r="130" ht="18.3" customHeight="1" spans="1:8">
      <c r="A130" s="18">
        <v>91</v>
      </c>
      <c r="B130" s="19" t="s">
        <v>167</v>
      </c>
      <c r="C130" s="19">
        <v>1</v>
      </c>
      <c r="D130" s="20">
        <v>7.8</v>
      </c>
      <c r="E130" s="20">
        <v>7.8</v>
      </c>
      <c r="F130" s="19" t="s">
        <v>166</v>
      </c>
      <c r="G130" s="19" t="s">
        <v>159</v>
      </c>
      <c r="H130" s="34"/>
    </row>
    <row r="131" ht="18.3" customHeight="1" spans="1:8">
      <c r="A131" s="18">
        <v>92</v>
      </c>
      <c r="B131" s="19" t="s">
        <v>168</v>
      </c>
      <c r="C131" s="19">
        <v>2</v>
      </c>
      <c r="D131" s="20">
        <v>7</v>
      </c>
      <c r="E131" s="20">
        <v>14</v>
      </c>
      <c r="F131" s="19" t="s">
        <v>169</v>
      </c>
      <c r="G131" s="19" t="s">
        <v>159</v>
      </c>
      <c r="H131" s="34"/>
    </row>
    <row r="132" ht="18.3" customHeight="1" spans="1:8">
      <c r="A132" s="18">
        <v>93</v>
      </c>
      <c r="B132" s="19" t="s">
        <v>170</v>
      </c>
      <c r="C132" s="19">
        <v>1</v>
      </c>
      <c r="D132" s="20">
        <v>14.2</v>
      </c>
      <c r="E132" s="20">
        <v>14.2</v>
      </c>
      <c r="F132" s="19" t="s">
        <v>87</v>
      </c>
      <c r="G132" s="19" t="s">
        <v>159</v>
      </c>
      <c r="H132" s="34"/>
    </row>
    <row r="133" ht="18.3" customHeight="1" spans="1:8">
      <c r="A133" s="18">
        <v>94</v>
      </c>
      <c r="B133" s="19" t="s">
        <v>171</v>
      </c>
      <c r="C133" s="19">
        <v>1</v>
      </c>
      <c r="D133" s="20">
        <v>0.56</v>
      </c>
      <c r="E133" s="20">
        <v>0.56</v>
      </c>
      <c r="F133" s="19" t="s">
        <v>92</v>
      </c>
      <c r="G133" s="19" t="s">
        <v>93</v>
      </c>
      <c r="H133" s="36"/>
    </row>
    <row r="134" ht="18.3" customHeight="1" spans="1:8">
      <c r="A134" s="18"/>
      <c r="B134" s="25" t="s">
        <v>38</v>
      </c>
      <c r="C134" s="26">
        <f>SUM(C122:C133)</f>
        <v>15</v>
      </c>
      <c r="D134" s="26"/>
      <c r="E134" s="27">
        <f>SUM(E122:E133)</f>
        <v>504.26</v>
      </c>
      <c r="F134" s="23"/>
      <c r="G134" s="23"/>
      <c r="H134" s="28"/>
    </row>
    <row r="135" ht="18.3" customHeight="1" spans="1:8">
      <c r="A135" s="16" t="s">
        <v>172</v>
      </c>
      <c r="B135" s="16" t="s">
        <v>173</v>
      </c>
      <c r="C135" s="16"/>
      <c r="D135" s="16"/>
      <c r="E135" s="17"/>
      <c r="F135" s="17"/>
      <c r="G135" s="17"/>
      <c r="H135" s="17"/>
    </row>
    <row r="136" ht="18.3" customHeight="1" spans="1:8">
      <c r="A136" s="18">
        <v>95</v>
      </c>
      <c r="B136" s="19" t="s">
        <v>174</v>
      </c>
      <c r="C136" s="18">
        <v>1</v>
      </c>
      <c r="D136" s="18">
        <v>13.8</v>
      </c>
      <c r="E136" s="23">
        <f>D136*C136</f>
        <v>13.8</v>
      </c>
      <c r="F136" s="23" t="s">
        <v>87</v>
      </c>
      <c r="G136" s="23" t="s">
        <v>53</v>
      </c>
      <c r="H136" s="21" t="s">
        <v>29</v>
      </c>
    </row>
    <row r="137" ht="18.3" customHeight="1" spans="1:8">
      <c r="A137" s="18">
        <v>96</v>
      </c>
      <c r="B137" s="19" t="s">
        <v>174</v>
      </c>
      <c r="C137" s="18">
        <v>1</v>
      </c>
      <c r="D137" s="18">
        <v>13.5</v>
      </c>
      <c r="E137" s="23">
        <f t="shared" ref="E137:E150" si="8">D137*C137</f>
        <v>13.5</v>
      </c>
      <c r="F137" s="23" t="s">
        <v>87</v>
      </c>
      <c r="G137" s="23" t="s">
        <v>53</v>
      </c>
      <c r="H137" s="22"/>
    </row>
    <row r="138" ht="18.3" customHeight="1" spans="1:8">
      <c r="A138" s="18">
        <v>97</v>
      </c>
      <c r="B138" s="19" t="s">
        <v>174</v>
      </c>
      <c r="C138" s="18">
        <v>1</v>
      </c>
      <c r="D138" s="18">
        <v>13.4</v>
      </c>
      <c r="E138" s="23">
        <f t="shared" si="8"/>
        <v>13.4</v>
      </c>
      <c r="F138" s="23" t="s">
        <v>87</v>
      </c>
      <c r="G138" s="23" t="s">
        <v>53</v>
      </c>
      <c r="H138" s="22"/>
    </row>
    <row r="139" ht="18.3" customHeight="1" spans="1:8">
      <c r="A139" s="18">
        <v>98</v>
      </c>
      <c r="B139" s="19" t="s">
        <v>175</v>
      </c>
      <c r="C139" s="18">
        <v>3</v>
      </c>
      <c r="D139" s="18">
        <v>1.85</v>
      </c>
      <c r="E139" s="23">
        <f t="shared" si="8"/>
        <v>5.55</v>
      </c>
      <c r="F139" s="23" t="s">
        <v>87</v>
      </c>
      <c r="G139" s="23" t="s">
        <v>53</v>
      </c>
      <c r="H139" s="22"/>
    </row>
    <row r="140" ht="18.3" customHeight="1" spans="1:8">
      <c r="A140" s="18">
        <v>99</v>
      </c>
      <c r="B140" s="19" t="s">
        <v>176</v>
      </c>
      <c r="C140" s="18">
        <v>1</v>
      </c>
      <c r="D140" s="18">
        <v>66.4</v>
      </c>
      <c r="E140" s="23">
        <f t="shared" si="8"/>
        <v>66.4</v>
      </c>
      <c r="F140" s="23" t="s">
        <v>87</v>
      </c>
      <c r="G140" s="23" t="s">
        <v>159</v>
      </c>
      <c r="H140" s="22"/>
    </row>
    <row r="141" ht="18.3" customHeight="1" spans="1:8">
      <c r="A141" s="18">
        <v>100</v>
      </c>
      <c r="B141" s="19" t="s">
        <v>177</v>
      </c>
      <c r="C141" s="18">
        <v>2</v>
      </c>
      <c r="D141" s="18">
        <v>13.05</v>
      </c>
      <c r="E141" s="23">
        <f t="shared" si="8"/>
        <v>26.1</v>
      </c>
      <c r="F141" s="23" t="s">
        <v>87</v>
      </c>
      <c r="G141" s="23" t="s">
        <v>159</v>
      </c>
      <c r="H141" s="22"/>
    </row>
    <row r="142" ht="18.3" customHeight="1" spans="1:8">
      <c r="A142" s="18">
        <v>101</v>
      </c>
      <c r="B142" s="19" t="s">
        <v>178</v>
      </c>
      <c r="C142" s="18">
        <v>2</v>
      </c>
      <c r="D142" s="18">
        <v>43.21</v>
      </c>
      <c r="E142" s="23">
        <f t="shared" si="8"/>
        <v>86.42</v>
      </c>
      <c r="F142" s="23" t="s">
        <v>87</v>
      </c>
      <c r="G142" s="23" t="s">
        <v>159</v>
      </c>
      <c r="H142" s="22"/>
    </row>
    <row r="143" ht="18.3" customHeight="1" spans="1:8">
      <c r="A143" s="18">
        <v>102</v>
      </c>
      <c r="B143" s="19" t="s">
        <v>179</v>
      </c>
      <c r="C143" s="18">
        <v>3</v>
      </c>
      <c r="D143" s="18">
        <v>1.93</v>
      </c>
      <c r="E143" s="23">
        <f t="shared" si="8"/>
        <v>5.79</v>
      </c>
      <c r="F143" s="23" t="s">
        <v>87</v>
      </c>
      <c r="G143" s="23" t="s">
        <v>53</v>
      </c>
      <c r="H143" s="22"/>
    </row>
    <row r="144" ht="18.3" customHeight="1" spans="1:8">
      <c r="A144" s="18">
        <v>103</v>
      </c>
      <c r="B144" s="19" t="s">
        <v>180</v>
      </c>
      <c r="C144" s="18">
        <v>1</v>
      </c>
      <c r="D144" s="18">
        <v>1.57</v>
      </c>
      <c r="E144" s="23">
        <f t="shared" si="8"/>
        <v>1.57</v>
      </c>
      <c r="F144" s="23" t="s">
        <v>87</v>
      </c>
      <c r="G144" s="23" t="s">
        <v>36</v>
      </c>
      <c r="H144" s="22"/>
    </row>
    <row r="145" ht="18.3" customHeight="1" spans="1:8">
      <c r="A145" s="18">
        <v>104</v>
      </c>
      <c r="B145" s="19" t="s">
        <v>181</v>
      </c>
      <c r="C145" s="18">
        <v>1</v>
      </c>
      <c r="D145" s="18">
        <v>0.4</v>
      </c>
      <c r="E145" s="23">
        <f t="shared" si="8"/>
        <v>0.4</v>
      </c>
      <c r="F145" s="23" t="s">
        <v>92</v>
      </c>
      <c r="G145" s="23" t="s">
        <v>182</v>
      </c>
      <c r="H145" s="22"/>
    </row>
    <row r="146" ht="18.3" customHeight="1" spans="1:8">
      <c r="A146" s="18">
        <v>105</v>
      </c>
      <c r="B146" s="19" t="s">
        <v>181</v>
      </c>
      <c r="C146" s="18">
        <v>1</v>
      </c>
      <c r="D146" s="18">
        <v>0.43</v>
      </c>
      <c r="E146" s="23">
        <f t="shared" si="8"/>
        <v>0.43</v>
      </c>
      <c r="F146" s="23" t="s">
        <v>87</v>
      </c>
      <c r="G146" s="23" t="s">
        <v>183</v>
      </c>
      <c r="H146" s="22"/>
    </row>
    <row r="147" ht="18.3" customHeight="1" spans="1:8">
      <c r="A147" s="18">
        <v>106</v>
      </c>
      <c r="B147" s="19" t="s">
        <v>181</v>
      </c>
      <c r="C147" s="18">
        <v>1</v>
      </c>
      <c r="D147" s="18">
        <v>0.38</v>
      </c>
      <c r="E147" s="23">
        <f t="shared" si="8"/>
        <v>0.38</v>
      </c>
      <c r="F147" s="23" t="s">
        <v>87</v>
      </c>
      <c r="G147" s="23" t="s">
        <v>184</v>
      </c>
      <c r="H147" s="22"/>
    </row>
    <row r="148" ht="18.3" customHeight="1" spans="1:8">
      <c r="A148" s="18">
        <v>107</v>
      </c>
      <c r="B148" s="19" t="s">
        <v>181</v>
      </c>
      <c r="C148" s="18">
        <v>1</v>
      </c>
      <c r="D148" s="18">
        <v>0.46</v>
      </c>
      <c r="E148" s="23">
        <f t="shared" si="8"/>
        <v>0.46</v>
      </c>
      <c r="F148" s="23" t="s">
        <v>92</v>
      </c>
      <c r="G148" s="23" t="s">
        <v>93</v>
      </c>
      <c r="H148" s="22"/>
    </row>
    <row r="149" ht="18.3" customHeight="1" spans="1:8">
      <c r="A149" s="18">
        <v>108</v>
      </c>
      <c r="B149" s="19" t="s">
        <v>185</v>
      </c>
      <c r="C149" s="18">
        <v>1</v>
      </c>
      <c r="D149" s="18">
        <v>11.97</v>
      </c>
      <c r="E149" s="23">
        <f t="shared" si="8"/>
        <v>11.97</v>
      </c>
      <c r="F149" s="23" t="s">
        <v>92</v>
      </c>
      <c r="G149" s="23" t="s">
        <v>93</v>
      </c>
      <c r="H149" s="22"/>
    </row>
    <row r="150" ht="18.3" customHeight="1" spans="1:8">
      <c r="A150" s="18">
        <v>109</v>
      </c>
      <c r="B150" s="19" t="s">
        <v>186</v>
      </c>
      <c r="C150" s="18">
        <v>5</v>
      </c>
      <c r="D150" s="18">
        <v>64</v>
      </c>
      <c r="E150" s="23">
        <f t="shared" si="8"/>
        <v>320</v>
      </c>
      <c r="F150" s="23" t="s">
        <v>87</v>
      </c>
      <c r="G150" s="23" t="s">
        <v>20</v>
      </c>
      <c r="H150" s="22"/>
    </row>
    <row r="151" ht="18.3" customHeight="1" spans="1:8">
      <c r="A151" s="25"/>
      <c r="B151" s="25" t="s">
        <v>38</v>
      </c>
      <c r="C151" s="26">
        <f>SUM(C136:C150)</f>
        <v>25</v>
      </c>
      <c r="D151" s="26"/>
      <c r="E151" s="27">
        <f>SUM(E136:E150)</f>
        <v>566.17</v>
      </c>
      <c r="F151" s="25"/>
      <c r="G151" s="25"/>
      <c r="H151" s="25"/>
    </row>
    <row r="152" ht="30" customHeight="1" spans="1:8">
      <c r="A152" s="37"/>
      <c r="B152" s="38" t="s">
        <v>7</v>
      </c>
      <c r="C152" s="39">
        <f>C134+C120+C104+C85+C53+C18</f>
        <v>173</v>
      </c>
      <c r="D152" s="39"/>
      <c r="E152" s="40">
        <f>E18+E53+E85+E104+E120+E134+E151</f>
        <v>2546.4217</v>
      </c>
      <c r="F152" s="41"/>
      <c r="G152" s="41"/>
      <c r="H152" s="41"/>
    </row>
    <row r="153" ht="34.2" customHeight="1" spans="1:8">
      <c r="A153" s="13" t="s">
        <v>187</v>
      </c>
      <c r="B153" s="14"/>
      <c r="C153" s="14"/>
      <c r="D153" s="14"/>
      <c r="E153" s="14"/>
      <c r="F153" s="14"/>
      <c r="G153" s="14"/>
      <c r="H153" s="15"/>
    </row>
    <row r="154" ht="21.15" customHeight="1" spans="1:10">
      <c r="A154" s="16" t="s">
        <v>12</v>
      </c>
      <c r="B154" s="16" t="s">
        <v>13</v>
      </c>
      <c r="C154" s="17"/>
      <c r="D154" s="17"/>
      <c r="E154" s="17"/>
      <c r="F154" s="17"/>
      <c r="G154" s="17"/>
      <c r="H154" s="17"/>
      <c r="I154" s="56" t="s">
        <v>379</v>
      </c>
      <c r="J154" s="57" t="s">
        <v>380</v>
      </c>
    </row>
    <row r="155" ht="21.15" customHeight="1" spans="1:10">
      <c r="A155" s="18">
        <v>110</v>
      </c>
      <c r="B155" s="18" t="s">
        <v>196</v>
      </c>
      <c r="C155" s="18">
        <v>2</v>
      </c>
      <c r="D155" s="23">
        <v>11.5</v>
      </c>
      <c r="E155" s="23">
        <f>D155*C155</f>
        <v>23</v>
      </c>
      <c r="F155" s="23"/>
      <c r="G155" s="19" t="s">
        <v>200</v>
      </c>
      <c r="H155" s="21" t="s">
        <v>201</v>
      </c>
      <c r="I155" s="58"/>
      <c r="J155" s="57"/>
    </row>
    <row r="156" ht="32.25" customHeight="1" spans="1:10">
      <c r="A156" s="18">
        <v>111</v>
      </c>
      <c r="B156" s="42" t="s">
        <v>202</v>
      </c>
      <c r="C156" s="19">
        <v>2</v>
      </c>
      <c r="D156" s="20">
        <v>44</v>
      </c>
      <c r="E156" s="23">
        <f t="shared" ref="E156:E163" si="9">D156*C156</f>
        <v>88</v>
      </c>
      <c r="F156" s="19" t="s">
        <v>206</v>
      </c>
      <c r="G156" s="19" t="s">
        <v>141</v>
      </c>
      <c r="H156" s="43" t="s">
        <v>207</v>
      </c>
      <c r="I156" s="58"/>
      <c r="J156" s="57"/>
    </row>
    <row r="157" ht="33" customHeight="1" spans="1:10">
      <c r="A157" s="18">
        <v>112</v>
      </c>
      <c r="B157" s="42" t="s">
        <v>208</v>
      </c>
      <c r="C157" s="44">
        <v>5</v>
      </c>
      <c r="D157" s="45">
        <v>44</v>
      </c>
      <c r="E157" s="46">
        <f t="shared" si="9"/>
        <v>220</v>
      </c>
      <c r="F157" s="44" t="s">
        <v>92</v>
      </c>
      <c r="G157" s="44" t="s">
        <v>209</v>
      </c>
      <c r="H157" s="47" t="s">
        <v>210</v>
      </c>
      <c r="I157" s="58"/>
      <c r="J157" s="57"/>
    </row>
    <row r="158" ht="21.15" customHeight="1" spans="1:10">
      <c r="A158" s="18">
        <v>113</v>
      </c>
      <c r="B158" s="42" t="s">
        <v>203</v>
      </c>
      <c r="C158" s="19">
        <v>6</v>
      </c>
      <c r="D158" s="20">
        <v>30</v>
      </c>
      <c r="E158" s="23">
        <f t="shared" si="9"/>
        <v>180</v>
      </c>
      <c r="F158" s="19"/>
      <c r="G158" s="19" t="s">
        <v>53</v>
      </c>
      <c r="H158" s="43" t="s">
        <v>207</v>
      </c>
      <c r="I158" s="58"/>
      <c r="J158" s="57"/>
    </row>
    <row r="159" ht="21.15" customHeight="1" spans="1:10">
      <c r="A159" s="18">
        <v>114</v>
      </c>
      <c r="B159" s="42" t="s">
        <v>211</v>
      </c>
      <c r="C159" s="44">
        <v>1</v>
      </c>
      <c r="D159" s="45">
        <v>180</v>
      </c>
      <c r="E159" s="46">
        <f t="shared" si="9"/>
        <v>180</v>
      </c>
      <c r="F159" s="44" t="s">
        <v>206</v>
      </c>
      <c r="G159" s="44" t="s">
        <v>141</v>
      </c>
      <c r="H159" s="47" t="s">
        <v>214</v>
      </c>
      <c r="I159" s="58"/>
      <c r="J159" s="57"/>
    </row>
    <row r="160" ht="55.5" customHeight="1" spans="1:10">
      <c r="A160" s="18">
        <v>115</v>
      </c>
      <c r="B160" s="19" t="s">
        <v>215</v>
      </c>
      <c r="C160" s="19">
        <v>1</v>
      </c>
      <c r="D160" s="20">
        <v>180</v>
      </c>
      <c r="E160" s="23">
        <f t="shared" si="9"/>
        <v>180</v>
      </c>
      <c r="F160" s="19" t="s">
        <v>206</v>
      </c>
      <c r="G160" s="19" t="s">
        <v>141</v>
      </c>
      <c r="H160" s="21" t="s">
        <v>201</v>
      </c>
      <c r="I160" s="58"/>
      <c r="J160" s="57"/>
    </row>
    <row r="161" ht="58.5" customHeight="1" spans="1:10">
      <c r="A161" s="18">
        <v>116</v>
      </c>
      <c r="B161" s="48" t="s">
        <v>216</v>
      </c>
      <c r="C161" s="44">
        <v>2</v>
      </c>
      <c r="D161" s="44">
        <v>128</v>
      </c>
      <c r="E161" s="46">
        <f t="shared" si="9"/>
        <v>256</v>
      </c>
      <c r="F161" s="44" t="s">
        <v>219</v>
      </c>
      <c r="G161" s="45" t="s">
        <v>220</v>
      </c>
      <c r="H161" s="47" t="s">
        <v>221</v>
      </c>
      <c r="I161" s="58"/>
      <c r="J161" s="57"/>
    </row>
    <row r="162" ht="42" customHeight="1" spans="1:10">
      <c r="A162" s="18">
        <v>117</v>
      </c>
      <c r="B162" s="48" t="s">
        <v>222</v>
      </c>
      <c r="C162" s="44">
        <v>2</v>
      </c>
      <c r="D162" s="44">
        <v>78</v>
      </c>
      <c r="E162" s="46">
        <f t="shared" si="9"/>
        <v>156</v>
      </c>
      <c r="F162" s="44" t="s">
        <v>219</v>
      </c>
      <c r="G162" s="45" t="s">
        <v>220</v>
      </c>
      <c r="H162" s="47" t="s">
        <v>221</v>
      </c>
      <c r="I162" s="58"/>
      <c r="J162" s="57"/>
    </row>
    <row r="163" ht="21.15" customHeight="1" spans="1:10">
      <c r="A163" s="18">
        <v>118</v>
      </c>
      <c r="B163" s="19" t="s">
        <v>225</v>
      </c>
      <c r="C163" s="19">
        <v>8</v>
      </c>
      <c r="D163" s="20">
        <v>5</v>
      </c>
      <c r="E163" s="23">
        <f t="shared" si="9"/>
        <v>40</v>
      </c>
      <c r="F163" s="23"/>
      <c r="G163" s="23"/>
      <c r="H163" s="21" t="s">
        <v>201</v>
      </c>
      <c r="I163" s="58"/>
      <c r="J163" s="57"/>
    </row>
    <row r="164" ht="21.15" customHeight="1" spans="1:10">
      <c r="A164" s="18"/>
      <c r="B164" s="25" t="s">
        <v>38</v>
      </c>
      <c r="C164" s="26">
        <f>SUM(C155:C163)</f>
        <v>29</v>
      </c>
      <c r="D164" s="26"/>
      <c r="E164" s="27">
        <f>SUM(E155:E163)</f>
        <v>1323</v>
      </c>
      <c r="F164" s="23"/>
      <c r="G164" s="23"/>
      <c r="H164" s="28"/>
      <c r="I164" s="58"/>
      <c r="J164" s="57"/>
    </row>
    <row r="165" ht="21.15" customHeight="1" spans="1:10">
      <c r="A165" s="16" t="s">
        <v>39</v>
      </c>
      <c r="B165" s="16" t="s">
        <v>40</v>
      </c>
      <c r="C165" s="16"/>
      <c r="D165" s="17"/>
      <c r="E165" s="17"/>
      <c r="F165" s="17"/>
      <c r="G165" s="17"/>
      <c r="H165" s="17"/>
      <c r="J165" s="57"/>
    </row>
    <row r="166" ht="21.15" customHeight="1" spans="1:10">
      <c r="A166" s="18">
        <v>119</v>
      </c>
      <c r="B166" s="19" t="s">
        <v>228</v>
      </c>
      <c r="C166" s="20">
        <v>1</v>
      </c>
      <c r="D166" s="20">
        <v>1.3</v>
      </c>
      <c r="E166" s="20">
        <v>1.3</v>
      </c>
      <c r="F166" s="19" t="s">
        <v>87</v>
      </c>
      <c r="G166" s="19" t="s">
        <v>159</v>
      </c>
      <c r="H166" s="29"/>
      <c r="J166" s="57"/>
    </row>
    <row r="167" ht="21.15" customHeight="1" spans="1:10">
      <c r="A167" s="18"/>
      <c r="B167" s="25" t="s">
        <v>38</v>
      </c>
      <c r="C167" s="25">
        <f>SUM(C166)</f>
        <v>1</v>
      </c>
      <c r="D167" s="25"/>
      <c r="E167" s="49">
        <f>SUM(E166)</f>
        <v>1.3</v>
      </c>
      <c r="F167" s="20"/>
      <c r="G167" s="20"/>
      <c r="H167" s="28"/>
      <c r="J167" s="57"/>
    </row>
    <row r="168" ht="21.15" customHeight="1" spans="1:10">
      <c r="A168" s="16" t="s">
        <v>81</v>
      </c>
      <c r="B168" s="16" t="s">
        <v>82</v>
      </c>
      <c r="C168" s="17"/>
      <c r="D168" s="17"/>
      <c r="E168" s="17"/>
      <c r="F168" s="17"/>
      <c r="G168" s="17"/>
      <c r="H168" s="17"/>
      <c r="I168" s="56" t="s">
        <v>381</v>
      </c>
      <c r="J168" s="57"/>
    </row>
    <row r="169" ht="31.5" customHeight="1" spans="1:10">
      <c r="A169" s="18">
        <v>120</v>
      </c>
      <c r="B169" s="50" t="s">
        <v>232</v>
      </c>
      <c r="C169" s="18">
        <v>9</v>
      </c>
      <c r="D169" s="23">
        <v>25</v>
      </c>
      <c r="E169" s="23">
        <f>D169*C169</f>
        <v>225</v>
      </c>
      <c r="F169" s="19"/>
      <c r="G169" s="19" t="s">
        <v>235</v>
      </c>
      <c r="H169" s="21" t="s">
        <v>201</v>
      </c>
      <c r="I169" s="58"/>
      <c r="J169" s="57"/>
    </row>
    <row r="170" ht="21.15" customHeight="1" spans="1:10">
      <c r="A170" s="18">
        <v>121</v>
      </c>
      <c r="B170" s="51" t="s">
        <v>236</v>
      </c>
      <c r="C170" s="52">
        <v>2</v>
      </c>
      <c r="D170" s="46">
        <v>6</v>
      </c>
      <c r="E170" s="46">
        <f t="shared" ref="E170:E179" si="10">D170*C170</f>
        <v>12</v>
      </c>
      <c r="F170" s="53"/>
      <c r="G170" s="44" t="s">
        <v>220</v>
      </c>
      <c r="H170" s="47" t="s">
        <v>239</v>
      </c>
      <c r="I170" s="58"/>
      <c r="J170" s="57"/>
    </row>
    <row r="171" ht="21.15" customHeight="1" spans="1:10">
      <c r="A171" s="18">
        <v>122</v>
      </c>
      <c r="B171" s="19" t="s">
        <v>240</v>
      </c>
      <c r="C171" s="19">
        <v>10</v>
      </c>
      <c r="D171" s="20">
        <v>3</v>
      </c>
      <c r="E171" s="23">
        <f t="shared" si="10"/>
        <v>30</v>
      </c>
      <c r="F171" s="19" t="s">
        <v>87</v>
      </c>
      <c r="G171" s="19" t="s">
        <v>53</v>
      </c>
      <c r="H171" s="21" t="s">
        <v>201</v>
      </c>
      <c r="I171" s="58"/>
      <c r="J171" s="57"/>
    </row>
    <row r="172" ht="21.15" customHeight="1" spans="1:10">
      <c r="A172" s="18">
        <v>123</v>
      </c>
      <c r="B172" s="44" t="s">
        <v>240</v>
      </c>
      <c r="C172" s="44">
        <v>1</v>
      </c>
      <c r="D172" s="45">
        <v>3</v>
      </c>
      <c r="E172" s="46">
        <f t="shared" si="10"/>
        <v>3</v>
      </c>
      <c r="F172" s="44" t="s">
        <v>206</v>
      </c>
      <c r="G172" s="44" t="s">
        <v>141</v>
      </c>
      <c r="H172" s="47" t="s">
        <v>243</v>
      </c>
      <c r="I172" s="58"/>
      <c r="J172" s="57"/>
    </row>
    <row r="173" ht="21.15" customHeight="1" spans="1:10">
      <c r="A173" s="18">
        <v>124</v>
      </c>
      <c r="B173" s="19" t="s">
        <v>244</v>
      </c>
      <c r="C173" s="19">
        <v>1</v>
      </c>
      <c r="D173" s="20">
        <v>4</v>
      </c>
      <c r="E173" s="23">
        <f t="shared" si="10"/>
        <v>4</v>
      </c>
      <c r="F173" s="19" t="s">
        <v>219</v>
      </c>
      <c r="G173" s="19" t="s">
        <v>220</v>
      </c>
      <c r="H173" s="21" t="s">
        <v>201</v>
      </c>
      <c r="I173" s="58"/>
      <c r="J173" s="57"/>
    </row>
    <row r="174" ht="21.15" customHeight="1" spans="1:10">
      <c r="A174" s="18">
        <v>125</v>
      </c>
      <c r="B174" s="44" t="s">
        <v>247</v>
      </c>
      <c r="C174" s="44">
        <v>2</v>
      </c>
      <c r="D174" s="45">
        <v>8</v>
      </c>
      <c r="E174" s="46">
        <f t="shared" si="10"/>
        <v>16</v>
      </c>
      <c r="F174" s="44" t="s">
        <v>206</v>
      </c>
      <c r="G174" s="44" t="s">
        <v>141</v>
      </c>
      <c r="H174" s="47" t="s">
        <v>239</v>
      </c>
      <c r="I174" s="58"/>
      <c r="J174" s="57"/>
    </row>
    <row r="175" ht="21.15" customHeight="1" spans="1:10">
      <c r="A175" s="18">
        <v>126</v>
      </c>
      <c r="B175" s="19" t="s">
        <v>249</v>
      </c>
      <c r="C175" s="19">
        <v>1</v>
      </c>
      <c r="D175" s="20">
        <v>8</v>
      </c>
      <c r="E175" s="23">
        <f t="shared" si="10"/>
        <v>8</v>
      </c>
      <c r="F175" s="19" t="s">
        <v>219</v>
      </c>
      <c r="G175" s="19" t="s">
        <v>220</v>
      </c>
      <c r="H175" s="21" t="s">
        <v>201</v>
      </c>
      <c r="I175" s="58"/>
      <c r="J175" s="57"/>
    </row>
    <row r="176" ht="33.75" customHeight="1" spans="1:10">
      <c r="A176" s="18">
        <v>127</v>
      </c>
      <c r="B176" s="18" t="s">
        <v>251</v>
      </c>
      <c r="C176" s="18">
        <v>1</v>
      </c>
      <c r="D176" s="23">
        <v>2</v>
      </c>
      <c r="E176" s="23">
        <f t="shared" si="10"/>
        <v>2</v>
      </c>
      <c r="F176" s="19"/>
      <c r="G176" s="19" t="s">
        <v>93</v>
      </c>
      <c r="H176" s="21" t="s">
        <v>207</v>
      </c>
      <c r="I176" s="58"/>
      <c r="J176" s="57"/>
    </row>
    <row r="177" ht="30.75" customHeight="1" spans="1:10">
      <c r="A177" s="18">
        <v>128</v>
      </c>
      <c r="B177" s="52" t="s">
        <v>254</v>
      </c>
      <c r="C177" s="52">
        <v>1</v>
      </c>
      <c r="D177" s="46">
        <v>6</v>
      </c>
      <c r="E177" s="46">
        <f t="shared" si="10"/>
        <v>6</v>
      </c>
      <c r="F177" s="54"/>
      <c r="G177" s="44" t="s">
        <v>22</v>
      </c>
      <c r="H177" s="55" t="s">
        <v>257</v>
      </c>
      <c r="I177" s="58"/>
      <c r="J177" s="57"/>
    </row>
    <row r="178" ht="21.15" customHeight="1" spans="1:10">
      <c r="A178" s="18">
        <v>129</v>
      </c>
      <c r="B178" s="52" t="s">
        <v>258</v>
      </c>
      <c r="C178" s="52">
        <v>1</v>
      </c>
      <c r="D178" s="46">
        <v>8</v>
      </c>
      <c r="E178" s="46">
        <f t="shared" si="10"/>
        <v>8</v>
      </c>
      <c r="F178" s="44" t="s">
        <v>206</v>
      </c>
      <c r="G178" s="44" t="s">
        <v>141</v>
      </c>
      <c r="H178" s="47" t="s">
        <v>214</v>
      </c>
      <c r="I178" s="58"/>
      <c r="J178" s="57"/>
    </row>
    <row r="179" ht="33.75" customHeight="1" spans="1:10">
      <c r="A179" s="18">
        <v>130</v>
      </c>
      <c r="B179" s="52" t="s">
        <v>261</v>
      </c>
      <c r="C179" s="52">
        <v>2</v>
      </c>
      <c r="D179" s="46">
        <v>8</v>
      </c>
      <c r="E179" s="46">
        <f t="shared" si="10"/>
        <v>16</v>
      </c>
      <c r="F179" s="44" t="s">
        <v>219</v>
      </c>
      <c r="G179" s="44" t="s">
        <v>220</v>
      </c>
      <c r="H179" s="47" t="s">
        <v>239</v>
      </c>
      <c r="I179" s="58"/>
      <c r="J179" s="57"/>
    </row>
    <row r="180" ht="21.15" customHeight="1" spans="1:10">
      <c r="A180" s="18"/>
      <c r="B180" s="25" t="s">
        <v>38</v>
      </c>
      <c r="C180" s="25">
        <f>SUM(C169:C179)</f>
        <v>31</v>
      </c>
      <c r="D180" s="25"/>
      <c r="E180" s="49">
        <f>SUM(E169:E179)</f>
        <v>330</v>
      </c>
      <c r="F180" s="23"/>
      <c r="G180" s="23"/>
      <c r="H180" s="28"/>
      <c r="I180" s="58"/>
      <c r="J180" s="57"/>
    </row>
    <row r="181" ht="21.15" customHeight="1" spans="1:10">
      <c r="A181" s="16" t="s">
        <v>113</v>
      </c>
      <c r="B181" s="16" t="s">
        <v>114</v>
      </c>
      <c r="C181" s="16"/>
      <c r="D181" s="17"/>
      <c r="E181" s="17"/>
      <c r="F181" s="17"/>
      <c r="G181" s="17"/>
      <c r="H181" s="17"/>
      <c r="I181" s="56" t="s">
        <v>382</v>
      </c>
      <c r="J181" s="57"/>
    </row>
    <row r="182" ht="21.15" customHeight="1" spans="1:10">
      <c r="A182" s="18">
        <v>131</v>
      </c>
      <c r="B182" s="19" t="s">
        <v>264</v>
      </c>
      <c r="C182" s="19">
        <v>1</v>
      </c>
      <c r="D182" s="20">
        <v>1.5</v>
      </c>
      <c r="E182" s="20">
        <f>D182*C182</f>
        <v>1.5</v>
      </c>
      <c r="F182" s="19" t="s">
        <v>87</v>
      </c>
      <c r="G182" s="19" t="s">
        <v>267</v>
      </c>
      <c r="H182" s="21" t="s">
        <v>201</v>
      </c>
      <c r="I182" s="58"/>
      <c r="J182" s="57"/>
    </row>
    <row r="183" ht="21.15" customHeight="1" spans="1:10">
      <c r="A183" s="18">
        <v>132</v>
      </c>
      <c r="B183" s="44" t="s">
        <v>117</v>
      </c>
      <c r="C183" s="44">
        <v>4</v>
      </c>
      <c r="D183" s="45">
        <v>9</v>
      </c>
      <c r="E183" s="45"/>
      <c r="F183" s="44" t="s">
        <v>87</v>
      </c>
      <c r="G183" s="44" t="s">
        <v>53</v>
      </c>
      <c r="H183" s="47" t="s">
        <v>269</v>
      </c>
      <c r="I183" s="58"/>
      <c r="J183" s="57"/>
    </row>
    <row r="184" ht="44.55" customHeight="1" spans="1:10">
      <c r="A184" s="18">
        <v>133</v>
      </c>
      <c r="B184" s="44" t="s">
        <v>383</v>
      </c>
      <c r="C184" s="44">
        <v>2</v>
      </c>
      <c r="D184" s="45">
        <v>7</v>
      </c>
      <c r="E184" s="45">
        <f t="shared" ref="E183:E191" si="11">D184*C184</f>
        <v>14</v>
      </c>
      <c r="F184" s="44" t="s">
        <v>87</v>
      </c>
      <c r="G184" s="44" t="s">
        <v>53</v>
      </c>
      <c r="H184" s="47" t="s">
        <v>274</v>
      </c>
      <c r="I184" s="58"/>
      <c r="J184" s="57"/>
    </row>
    <row r="185" ht="21.15" customHeight="1" spans="1:10">
      <c r="A185" s="18">
        <v>134</v>
      </c>
      <c r="B185" s="19" t="s">
        <v>275</v>
      </c>
      <c r="C185" s="19">
        <v>2</v>
      </c>
      <c r="D185" s="20">
        <v>20</v>
      </c>
      <c r="E185" s="20">
        <f t="shared" si="11"/>
        <v>40</v>
      </c>
      <c r="F185" s="19" t="s">
        <v>20</v>
      </c>
      <c r="G185" s="19"/>
      <c r="H185" s="21" t="s">
        <v>207</v>
      </c>
      <c r="I185" s="58"/>
      <c r="J185" s="57"/>
    </row>
    <row r="186" ht="21.15" customHeight="1" spans="1:10">
      <c r="A186" s="18">
        <v>135</v>
      </c>
      <c r="B186" s="19" t="s">
        <v>278</v>
      </c>
      <c r="C186" s="19">
        <v>8</v>
      </c>
      <c r="D186" s="19">
        <v>0.5</v>
      </c>
      <c r="E186" s="20">
        <f t="shared" si="11"/>
        <v>4</v>
      </c>
      <c r="F186" s="19"/>
      <c r="G186" s="19" t="s">
        <v>280</v>
      </c>
      <c r="H186" s="21" t="s">
        <v>207</v>
      </c>
      <c r="I186" s="58"/>
      <c r="J186" s="57"/>
    </row>
    <row r="187" ht="21.15" customHeight="1" spans="1:10">
      <c r="A187" s="18">
        <v>136</v>
      </c>
      <c r="B187" s="19" t="s">
        <v>281</v>
      </c>
      <c r="C187" s="19">
        <v>5</v>
      </c>
      <c r="D187" s="19">
        <v>8</v>
      </c>
      <c r="E187" s="20">
        <f t="shared" si="11"/>
        <v>40</v>
      </c>
      <c r="F187" s="19"/>
      <c r="G187" s="19" t="s">
        <v>53</v>
      </c>
      <c r="H187" s="21" t="s">
        <v>201</v>
      </c>
      <c r="I187" s="58"/>
      <c r="J187" s="57"/>
    </row>
    <row r="188" ht="21.15" customHeight="1" spans="1:10">
      <c r="A188" s="18">
        <v>137</v>
      </c>
      <c r="B188" s="19" t="s">
        <v>284</v>
      </c>
      <c r="C188" s="19">
        <v>5</v>
      </c>
      <c r="D188" s="19">
        <v>12</v>
      </c>
      <c r="E188" s="20">
        <f t="shared" si="11"/>
        <v>60</v>
      </c>
      <c r="F188" s="19" t="s">
        <v>87</v>
      </c>
      <c r="G188" s="19" t="s">
        <v>53</v>
      </c>
      <c r="H188" s="21" t="s">
        <v>201</v>
      </c>
      <c r="I188" s="58"/>
      <c r="J188" s="57"/>
    </row>
    <row r="189" ht="21.15" customHeight="1" spans="1:10">
      <c r="A189" s="18">
        <v>138</v>
      </c>
      <c r="B189" s="19" t="s">
        <v>286</v>
      </c>
      <c r="C189" s="19">
        <v>1</v>
      </c>
      <c r="D189" s="19">
        <v>8.5</v>
      </c>
      <c r="E189" s="20">
        <f t="shared" si="11"/>
        <v>8.5</v>
      </c>
      <c r="F189" s="19" t="s">
        <v>166</v>
      </c>
      <c r="G189" s="19" t="s">
        <v>289</v>
      </c>
      <c r="H189" s="21" t="s">
        <v>201</v>
      </c>
      <c r="I189" s="58"/>
      <c r="J189" s="57"/>
    </row>
    <row r="190" ht="21.15" customHeight="1" spans="1:10">
      <c r="A190" s="18">
        <v>139</v>
      </c>
      <c r="B190" s="19" t="s">
        <v>290</v>
      </c>
      <c r="C190" s="19">
        <v>1</v>
      </c>
      <c r="D190" s="20">
        <v>3.2</v>
      </c>
      <c r="E190" s="20">
        <f t="shared" si="11"/>
        <v>3.2</v>
      </c>
      <c r="F190" s="19" t="s">
        <v>293</v>
      </c>
      <c r="G190" s="19" t="s">
        <v>267</v>
      </c>
      <c r="H190" s="21" t="s">
        <v>201</v>
      </c>
      <c r="I190" s="58"/>
      <c r="J190" s="57"/>
    </row>
    <row r="191" ht="21.15" customHeight="1" spans="1:10">
      <c r="A191" s="18">
        <v>140</v>
      </c>
      <c r="B191" s="19" t="s">
        <v>294</v>
      </c>
      <c r="C191" s="19">
        <v>1</v>
      </c>
      <c r="D191" s="20">
        <v>2</v>
      </c>
      <c r="E191" s="20">
        <f t="shared" si="11"/>
        <v>2</v>
      </c>
      <c r="F191" s="19" t="s">
        <v>219</v>
      </c>
      <c r="G191" s="19" t="s">
        <v>220</v>
      </c>
      <c r="H191" s="21" t="s">
        <v>201</v>
      </c>
      <c r="I191" s="58"/>
      <c r="J191" s="57"/>
    </row>
    <row r="192" ht="21.15" customHeight="1" spans="1:10">
      <c r="A192" s="18"/>
      <c r="B192" s="25" t="s">
        <v>38</v>
      </c>
      <c r="C192" s="25">
        <f>SUM(C182:C191)</f>
        <v>30</v>
      </c>
      <c r="D192" s="25"/>
      <c r="E192" s="49">
        <f>SUM(E182:E191)</f>
        <v>173.2</v>
      </c>
      <c r="F192" s="23"/>
      <c r="G192" s="23"/>
      <c r="H192" s="28"/>
      <c r="I192" s="58"/>
      <c r="J192" s="57"/>
    </row>
    <row r="193" ht="21.15" customHeight="1" spans="1:10">
      <c r="A193" s="16" t="s">
        <v>136</v>
      </c>
      <c r="B193" s="16" t="s">
        <v>137</v>
      </c>
      <c r="C193" s="16"/>
      <c r="D193" s="17"/>
      <c r="E193" s="17"/>
      <c r="F193" s="17"/>
      <c r="G193" s="17"/>
      <c r="H193" s="17"/>
      <c r="I193" s="56" t="s">
        <v>384</v>
      </c>
      <c r="J193" s="57"/>
    </row>
    <row r="194" ht="21.15" customHeight="1" spans="1:10">
      <c r="A194" s="18">
        <v>141</v>
      </c>
      <c r="B194" s="19" t="s">
        <v>300</v>
      </c>
      <c r="C194" s="19">
        <v>20</v>
      </c>
      <c r="D194" s="20">
        <v>3</v>
      </c>
      <c r="E194" s="20">
        <f t="shared" ref="E194:E200" si="12">D194*C194</f>
        <v>60</v>
      </c>
      <c r="F194" s="19" t="s">
        <v>140</v>
      </c>
      <c r="G194" s="19" t="s">
        <v>303</v>
      </c>
      <c r="H194" s="21" t="s">
        <v>201</v>
      </c>
      <c r="I194" s="58"/>
      <c r="J194" s="57"/>
    </row>
    <row r="195" ht="32.25" customHeight="1" spans="1:10">
      <c r="A195" s="18">
        <v>142</v>
      </c>
      <c r="B195" s="19" t="s">
        <v>304</v>
      </c>
      <c r="C195" s="19">
        <v>10</v>
      </c>
      <c r="D195" s="20">
        <v>4.5</v>
      </c>
      <c r="E195" s="20">
        <f t="shared" si="12"/>
        <v>45</v>
      </c>
      <c r="F195" s="19" t="s">
        <v>87</v>
      </c>
      <c r="G195" s="19" t="s">
        <v>53</v>
      </c>
      <c r="H195" s="29" t="s">
        <v>207</v>
      </c>
      <c r="I195" s="58"/>
      <c r="J195" s="57"/>
    </row>
    <row r="196" ht="32.25" customHeight="1" spans="1:10">
      <c r="A196" s="18">
        <v>143</v>
      </c>
      <c r="B196" s="44" t="s">
        <v>306</v>
      </c>
      <c r="C196" s="44">
        <v>2</v>
      </c>
      <c r="D196" s="45">
        <v>8</v>
      </c>
      <c r="E196" s="45">
        <f t="shared" si="12"/>
        <v>16</v>
      </c>
      <c r="F196" s="44" t="s">
        <v>140</v>
      </c>
      <c r="G196" s="44" t="s">
        <v>141</v>
      </c>
      <c r="H196" s="55" t="s">
        <v>239</v>
      </c>
      <c r="I196" s="58"/>
      <c r="J196" s="57"/>
    </row>
    <row r="197" ht="36.75" customHeight="1" spans="1:10">
      <c r="A197" s="18">
        <v>144</v>
      </c>
      <c r="B197" s="44" t="s">
        <v>308</v>
      </c>
      <c r="C197" s="44">
        <v>2</v>
      </c>
      <c r="D197" s="45">
        <v>4</v>
      </c>
      <c r="E197" s="45">
        <f t="shared" si="12"/>
        <v>8</v>
      </c>
      <c r="F197" s="44" t="s">
        <v>144</v>
      </c>
      <c r="G197" s="44" t="s">
        <v>220</v>
      </c>
      <c r="H197" s="55" t="s">
        <v>310</v>
      </c>
      <c r="I197" s="58"/>
      <c r="J197" s="57"/>
    </row>
    <row r="198" ht="42.75" customHeight="1" spans="1:10">
      <c r="A198" s="18">
        <v>145</v>
      </c>
      <c r="B198" s="19" t="s">
        <v>311</v>
      </c>
      <c r="C198" s="19">
        <v>2</v>
      </c>
      <c r="D198" s="19">
        <v>76</v>
      </c>
      <c r="E198" s="20">
        <f t="shared" si="12"/>
        <v>152</v>
      </c>
      <c r="F198" s="19" t="s">
        <v>87</v>
      </c>
      <c r="G198" s="19" t="s">
        <v>159</v>
      </c>
      <c r="H198" s="21" t="s">
        <v>201</v>
      </c>
      <c r="I198" s="58"/>
      <c r="J198" s="57"/>
    </row>
    <row r="199" ht="21.15" customHeight="1" spans="1:10">
      <c r="A199" s="18">
        <v>146</v>
      </c>
      <c r="B199" s="19" t="s">
        <v>314</v>
      </c>
      <c r="C199" s="19">
        <v>1</v>
      </c>
      <c r="D199" s="19">
        <v>70</v>
      </c>
      <c r="E199" s="20">
        <f t="shared" si="12"/>
        <v>70</v>
      </c>
      <c r="F199" s="19" t="s">
        <v>87</v>
      </c>
      <c r="G199" s="19" t="s">
        <v>53</v>
      </c>
      <c r="H199" s="21" t="s">
        <v>201</v>
      </c>
      <c r="I199" s="58"/>
      <c r="J199" s="57"/>
    </row>
    <row r="200" ht="21.15" customHeight="1" spans="1:10">
      <c r="A200" s="18">
        <v>147</v>
      </c>
      <c r="B200" s="19" t="s">
        <v>315</v>
      </c>
      <c r="C200" s="19">
        <v>5</v>
      </c>
      <c r="D200" s="20">
        <v>7</v>
      </c>
      <c r="E200" s="20">
        <f t="shared" si="12"/>
        <v>35</v>
      </c>
      <c r="F200" s="19" t="s">
        <v>144</v>
      </c>
      <c r="G200" s="19" t="s">
        <v>145</v>
      </c>
      <c r="H200" s="21" t="s">
        <v>201</v>
      </c>
      <c r="I200" s="58"/>
      <c r="J200" s="57"/>
    </row>
    <row r="201" ht="21.15" customHeight="1" spans="1:10">
      <c r="A201" s="18"/>
      <c r="B201" s="25" t="s">
        <v>38</v>
      </c>
      <c r="C201" s="25">
        <f>SUM(C194:C200)</f>
        <v>42</v>
      </c>
      <c r="D201" s="25"/>
      <c r="E201" s="49">
        <f>SUM(E194:E200)</f>
        <v>386</v>
      </c>
      <c r="F201" s="23"/>
      <c r="G201" s="23"/>
      <c r="H201" s="28"/>
      <c r="I201" s="58"/>
      <c r="J201" s="57"/>
    </row>
    <row r="202" ht="21.15" customHeight="1" spans="1:10">
      <c r="A202" s="16" t="s">
        <v>156</v>
      </c>
      <c r="B202" s="16" t="s">
        <v>157</v>
      </c>
      <c r="C202" s="16"/>
      <c r="D202" s="17"/>
      <c r="E202" s="17"/>
      <c r="F202" s="17"/>
      <c r="G202" s="17"/>
      <c r="H202" s="17"/>
      <c r="J202" s="57"/>
    </row>
    <row r="203" ht="21.15" customHeight="1" spans="1:10">
      <c r="A203" s="18">
        <v>148</v>
      </c>
      <c r="B203" s="44" t="s">
        <v>318</v>
      </c>
      <c r="C203" s="44">
        <v>1</v>
      </c>
      <c r="D203" s="45">
        <v>22</v>
      </c>
      <c r="E203" s="45">
        <f>D203*C203</f>
        <v>22</v>
      </c>
      <c r="F203" s="44" t="s">
        <v>87</v>
      </c>
      <c r="G203" s="44" t="s">
        <v>209</v>
      </c>
      <c r="H203" s="47" t="s">
        <v>243</v>
      </c>
      <c r="I203" s="56" t="s">
        <v>385</v>
      </c>
      <c r="J203" s="57"/>
    </row>
    <row r="204" ht="21.15" customHeight="1" spans="1:10">
      <c r="A204" s="18">
        <v>149</v>
      </c>
      <c r="B204" s="19" t="s">
        <v>320</v>
      </c>
      <c r="C204" s="19">
        <v>1</v>
      </c>
      <c r="D204" s="20">
        <v>138</v>
      </c>
      <c r="E204" s="20">
        <f t="shared" ref="E204:E213" si="13">D204*C204</f>
        <v>138</v>
      </c>
      <c r="F204" s="19" t="s">
        <v>140</v>
      </c>
      <c r="G204" s="19" t="s">
        <v>141</v>
      </c>
      <c r="H204" s="21" t="s">
        <v>201</v>
      </c>
      <c r="I204" s="58"/>
      <c r="J204" s="57"/>
    </row>
    <row r="205" ht="66.45" customHeight="1" spans="1:10">
      <c r="A205" s="18">
        <v>150</v>
      </c>
      <c r="B205" s="19" t="s">
        <v>323</v>
      </c>
      <c r="C205" s="19">
        <v>1</v>
      </c>
      <c r="D205" s="20">
        <v>14.76</v>
      </c>
      <c r="E205" s="20">
        <f t="shared" si="13"/>
        <v>14.76</v>
      </c>
      <c r="F205" s="19" t="s">
        <v>140</v>
      </c>
      <c r="G205" s="19" t="s">
        <v>141</v>
      </c>
      <c r="H205" s="21" t="s">
        <v>201</v>
      </c>
      <c r="I205" s="58"/>
      <c r="J205" s="57"/>
    </row>
    <row r="206" ht="37.5" customHeight="1" spans="1:10">
      <c r="A206" s="18">
        <v>151</v>
      </c>
      <c r="B206" s="19" t="s">
        <v>326</v>
      </c>
      <c r="C206" s="19">
        <v>2</v>
      </c>
      <c r="D206" s="20">
        <v>16</v>
      </c>
      <c r="E206" s="20">
        <f t="shared" si="13"/>
        <v>32</v>
      </c>
      <c r="F206" s="19" t="s">
        <v>329</v>
      </c>
      <c r="G206" s="19" t="s">
        <v>330</v>
      </c>
      <c r="H206" s="21" t="s">
        <v>201</v>
      </c>
      <c r="I206" s="58"/>
      <c r="J206" s="57"/>
    </row>
    <row r="207" ht="21.15" customHeight="1" spans="1:10">
      <c r="A207" s="18">
        <v>152</v>
      </c>
      <c r="B207" s="44" t="s">
        <v>331</v>
      </c>
      <c r="C207" s="47">
        <v>2</v>
      </c>
      <c r="D207" s="59">
        <v>12</v>
      </c>
      <c r="E207" s="45">
        <f t="shared" si="13"/>
        <v>24</v>
      </c>
      <c r="F207" s="47" t="s">
        <v>144</v>
      </c>
      <c r="G207" s="47" t="s">
        <v>220</v>
      </c>
      <c r="H207" s="47" t="s">
        <v>334</v>
      </c>
      <c r="I207" s="58"/>
      <c r="J207" s="57"/>
    </row>
    <row r="208" ht="21.15" customHeight="1" spans="1:10">
      <c r="A208" s="18">
        <v>153</v>
      </c>
      <c r="B208" s="19" t="s">
        <v>335</v>
      </c>
      <c r="C208" s="19">
        <v>1</v>
      </c>
      <c r="D208" s="20">
        <v>0.5</v>
      </c>
      <c r="E208" s="20">
        <f t="shared" si="13"/>
        <v>0.5</v>
      </c>
      <c r="F208" s="19" t="s">
        <v>338</v>
      </c>
      <c r="G208" s="19" t="s">
        <v>289</v>
      </c>
      <c r="H208" s="21" t="s">
        <v>207</v>
      </c>
      <c r="I208" s="58"/>
      <c r="J208" s="57"/>
    </row>
    <row r="209" ht="21.15" customHeight="1" spans="1:10">
      <c r="A209" s="18">
        <v>154</v>
      </c>
      <c r="B209" s="19" t="s">
        <v>339</v>
      </c>
      <c r="C209" s="19">
        <v>1</v>
      </c>
      <c r="D209" s="20">
        <v>0.4</v>
      </c>
      <c r="E209" s="20">
        <f t="shared" si="13"/>
        <v>0.4</v>
      </c>
      <c r="F209" s="19" t="s">
        <v>338</v>
      </c>
      <c r="G209" s="19" t="s">
        <v>289</v>
      </c>
      <c r="H209" s="21" t="s">
        <v>207</v>
      </c>
      <c r="I209" s="58"/>
      <c r="J209" s="57"/>
    </row>
    <row r="210" ht="21.15" customHeight="1" spans="1:10">
      <c r="A210" s="18">
        <v>155</v>
      </c>
      <c r="B210" s="19" t="s">
        <v>342</v>
      </c>
      <c r="C210" s="19">
        <v>1</v>
      </c>
      <c r="D210" s="20">
        <v>2</v>
      </c>
      <c r="E210" s="20">
        <f t="shared" si="13"/>
        <v>2</v>
      </c>
      <c r="F210" s="19" t="s">
        <v>92</v>
      </c>
      <c r="G210" s="19" t="s">
        <v>93</v>
      </c>
      <c r="H210" s="21" t="s">
        <v>207</v>
      </c>
      <c r="I210" s="58"/>
      <c r="J210" s="57"/>
    </row>
    <row r="211" ht="21.15" customHeight="1" spans="1:10">
      <c r="A211" s="18">
        <v>156</v>
      </c>
      <c r="B211" s="19" t="s">
        <v>343</v>
      </c>
      <c r="C211" s="19">
        <v>1</v>
      </c>
      <c r="D211" s="20">
        <v>0.8</v>
      </c>
      <c r="E211" s="20">
        <f t="shared" si="13"/>
        <v>0.8</v>
      </c>
      <c r="F211" s="19" t="s">
        <v>87</v>
      </c>
      <c r="G211" s="19" t="s">
        <v>267</v>
      </c>
      <c r="H211" s="21" t="s">
        <v>207</v>
      </c>
      <c r="I211" s="58"/>
      <c r="J211" s="57"/>
    </row>
    <row r="212" ht="21.15" customHeight="1" spans="1:10">
      <c r="A212" s="18">
        <v>157</v>
      </c>
      <c r="B212" s="19" t="s">
        <v>344</v>
      </c>
      <c r="C212" s="19">
        <v>2</v>
      </c>
      <c r="D212" s="20">
        <v>4.7</v>
      </c>
      <c r="E212" s="20">
        <f t="shared" si="13"/>
        <v>9.4</v>
      </c>
      <c r="F212" s="19" t="s">
        <v>22</v>
      </c>
      <c r="G212" s="19" t="s">
        <v>22</v>
      </c>
      <c r="H212" s="21" t="s">
        <v>207</v>
      </c>
      <c r="I212" s="58"/>
      <c r="J212" s="57"/>
    </row>
    <row r="213" ht="21.15" customHeight="1" spans="1:10">
      <c r="A213" s="18">
        <v>158</v>
      </c>
      <c r="B213" s="19" t="s">
        <v>346</v>
      </c>
      <c r="C213" s="18">
        <v>14</v>
      </c>
      <c r="D213" s="18">
        <v>43.1</v>
      </c>
      <c r="E213" s="20">
        <f t="shared" si="13"/>
        <v>603.4</v>
      </c>
      <c r="F213" s="19" t="s">
        <v>350</v>
      </c>
      <c r="G213" s="19" t="s">
        <v>351</v>
      </c>
      <c r="H213" s="21" t="s">
        <v>201</v>
      </c>
      <c r="I213" s="58"/>
      <c r="J213" s="57"/>
    </row>
    <row r="214" ht="21.15" customHeight="1" spans="1:10">
      <c r="A214" s="18"/>
      <c r="B214" s="25" t="s">
        <v>38</v>
      </c>
      <c r="C214" s="26">
        <f>SUM(C203:C212)</f>
        <v>13</v>
      </c>
      <c r="D214" s="26"/>
      <c r="E214" s="27">
        <f>SUM(E203:E213)</f>
        <v>847.26</v>
      </c>
      <c r="F214" s="23"/>
      <c r="G214" s="23"/>
      <c r="H214" s="28"/>
      <c r="J214" s="57"/>
    </row>
    <row r="215" ht="21.15" customHeight="1" spans="1:10">
      <c r="A215" s="16" t="s">
        <v>172</v>
      </c>
      <c r="B215" s="16" t="s">
        <v>173</v>
      </c>
      <c r="C215" s="16"/>
      <c r="D215" s="17"/>
      <c r="E215" s="17"/>
      <c r="F215" s="17"/>
      <c r="G215" s="17"/>
      <c r="H215" s="17"/>
      <c r="I215" s="56" t="s">
        <v>386</v>
      </c>
      <c r="J215" s="57"/>
    </row>
    <row r="216" ht="42.75" customHeight="1" spans="1:10">
      <c r="A216" s="18">
        <v>159</v>
      </c>
      <c r="B216" s="19" t="s">
        <v>355</v>
      </c>
      <c r="C216" s="60">
        <v>1</v>
      </c>
      <c r="D216" s="61">
        <v>3</v>
      </c>
      <c r="E216" s="61">
        <f>C216*D216</f>
        <v>3</v>
      </c>
      <c r="F216" s="60" t="s">
        <v>144</v>
      </c>
      <c r="G216" s="60" t="s">
        <v>220</v>
      </c>
      <c r="H216" s="21" t="s">
        <v>207</v>
      </c>
      <c r="I216" s="58"/>
      <c r="J216" s="57"/>
    </row>
    <row r="217" ht="21.15" customHeight="1" spans="1:10">
      <c r="A217" s="18">
        <v>160</v>
      </c>
      <c r="B217" s="62" t="s">
        <v>357</v>
      </c>
      <c r="C217" s="62">
        <v>2</v>
      </c>
      <c r="D217" s="63">
        <v>1.75</v>
      </c>
      <c r="E217" s="63"/>
      <c r="F217" s="62"/>
      <c r="G217" s="62" t="s">
        <v>387</v>
      </c>
      <c r="H217" s="55" t="s">
        <v>359</v>
      </c>
      <c r="I217" s="58"/>
      <c r="J217" s="57"/>
    </row>
    <row r="218" ht="21.15" customHeight="1" spans="1:10">
      <c r="A218" s="18">
        <v>161</v>
      </c>
      <c r="B218" s="62" t="s">
        <v>181</v>
      </c>
      <c r="C218" s="62">
        <v>1</v>
      </c>
      <c r="D218" s="63">
        <v>0.5</v>
      </c>
      <c r="E218" s="63">
        <f>C218*D218</f>
        <v>0.5</v>
      </c>
      <c r="F218" s="62"/>
      <c r="G218" s="62" t="s">
        <v>267</v>
      </c>
      <c r="H218" s="47" t="s">
        <v>214</v>
      </c>
      <c r="I218" s="58"/>
      <c r="J218" s="57"/>
    </row>
    <row r="219" ht="21.15" customHeight="1" spans="1:10">
      <c r="A219" s="18">
        <v>162</v>
      </c>
      <c r="B219" s="60" t="s">
        <v>360</v>
      </c>
      <c r="C219" s="60">
        <v>1</v>
      </c>
      <c r="D219" s="61">
        <v>0.5</v>
      </c>
      <c r="E219" s="61">
        <f>C219*D219</f>
        <v>0.5</v>
      </c>
      <c r="F219" s="60" t="s">
        <v>140</v>
      </c>
      <c r="G219" s="60" t="s">
        <v>141</v>
      </c>
      <c r="H219" s="21" t="s">
        <v>207</v>
      </c>
      <c r="I219" s="58"/>
      <c r="J219" s="57"/>
    </row>
    <row r="220" ht="21.15" customHeight="1" spans="1:10">
      <c r="A220" s="19"/>
      <c r="B220" s="25" t="s">
        <v>38</v>
      </c>
      <c r="C220" s="25">
        <f>SUM(C216:C219)</f>
        <v>5</v>
      </c>
      <c r="D220" s="25"/>
      <c r="E220" s="49">
        <f>SUM(E216:E219)</f>
        <v>4</v>
      </c>
      <c r="F220" s="19"/>
      <c r="G220" s="64"/>
      <c r="H220" s="28"/>
      <c r="I220" s="58"/>
      <c r="J220" s="57"/>
    </row>
    <row r="221" ht="21.15" customHeight="1" spans="1:8">
      <c r="A221" s="65" t="s">
        <v>361</v>
      </c>
      <c r="B221" s="65" t="s">
        <v>362</v>
      </c>
      <c r="C221" s="65"/>
      <c r="D221" s="66"/>
      <c r="E221" s="66"/>
      <c r="F221" s="65"/>
      <c r="G221" s="17"/>
      <c r="H221" s="17"/>
    </row>
    <row r="222" ht="21.15" customHeight="1" spans="1:8">
      <c r="A222" s="18">
        <v>163</v>
      </c>
      <c r="B222" s="30" t="s">
        <v>363</v>
      </c>
      <c r="C222" s="29">
        <v>1</v>
      </c>
      <c r="D222" s="67">
        <v>90</v>
      </c>
      <c r="E222" s="20"/>
      <c r="F222" s="68" t="s">
        <v>364</v>
      </c>
      <c r="G222" s="68" t="s">
        <v>53</v>
      </c>
      <c r="H222" s="21" t="s">
        <v>207</v>
      </c>
    </row>
    <row r="223" ht="21.15" customHeight="1" spans="1:8">
      <c r="A223" s="18">
        <v>164</v>
      </c>
      <c r="B223" s="30" t="s">
        <v>365</v>
      </c>
      <c r="C223" s="29">
        <v>1</v>
      </c>
      <c r="D223" s="67">
        <v>180</v>
      </c>
      <c r="E223" s="20"/>
      <c r="F223" s="69"/>
      <c r="G223" s="69"/>
      <c r="H223" s="21" t="s">
        <v>207</v>
      </c>
    </row>
    <row r="224" ht="21.15" customHeight="1" spans="1:8">
      <c r="A224" s="18">
        <v>165</v>
      </c>
      <c r="B224" s="19" t="s">
        <v>366</v>
      </c>
      <c r="C224" s="19">
        <v>1</v>
      </c>
      <c r="D224" s="20">
        <v>30</v>
      </c>
      <c r="E224" s="20"/>
      <c r="F224" s="69"/>
      <c r="G224" s="69"/>
      <c r="H224" s="21" t="s">
        <v>207</v>
      </c>
    </row>
    <row r="225" ht="21.15" customHeight="1" spans="1:8">
      <c r="A225" s="18">
        <v>166</v>
      </c>
      <c r="B225" s="19" t="s">
        <v>367</v>
      </c>
      <c r="C225" s="19">
        <v>1</v>
      </c>
      <c r="D225" s="20">
        <v>30</v>
      </c>
      <c r="E225" s="20"/>
      <c r="F225" s="69"/>
      <c r="G225" s="69"/>
      <c r="H225" s="21" t="s">
        <v>207</v>
      </c>
    </row>
    <row r="226" ht="21.15" customHeight="1" spans="1:8">
      <c r="A226" s="18">
        <v>167</v>
      </c>
      <c r="B226" s="19" t="s">
        <v>368</v>
      </c>
      <c r="C226" s="19">
        <v>1</v>
      </c>
      <c r="D226" s="20">
        <v>40</v>
      </c>
      <c r="E226" s="20"/>
      <c r="F226" s="69"/>
      <c r="G226" s="69"/>
      <c r="H226" s="21" t="s">
        <v>207</v>
      </c>
    </row>
    <row r="227" ht="21.15" customHeight="1" spans="1:8">
      <c r="A227" s="18">
        <v>168</v>
      </c>
      <c r="B227" s="19" t="s">
        <v>369</v>
      </c>
      <c r="C227" s="19">
        <v>1</v>
      </c>
      <c r="D227" s="20">
        <v>50</v>
      </c>
      <c r="E227" s="20"/>
      <c r="F227" s="69"/>
      <c r="G227" s="69"/>
      <c r="H227" s="21" t="s">
        <v>207</v>
      </c>
    </row>
    <row r="228" ht="21.15" customHeight="1" spans="1:8">
      <c r="A228" s="18">
        <v>169</v>
      </c>
      <c r="B228" s="19" t="s">
        <v>388</v>
      </c>
      <c r="C228" s="19">
        <v>10</v>
      </c>
      <c r="D228" s="20">
        <v>25</v>
      </c>
      <c r="E228" s="20">
        <f>C228*D228</f>
        <v>250</v>
      </c>
      <c r="F228" s="69"/>
      <c r="G228" s="69"/>
      <c r="H228" s="21" t="s">
        <v>207</v>
      </c>
    </row>
    <row r="229" ht="21.15" customHeight="1" spans="1:8">
      <c r="A229" s="18">
        <v>170</v>
      </c>
      <c r="B229" s="19" t="s">
        <v>373</v>
      </c>
      <c r="C229" s="19">
        <v>1</v>
      </c>
      <c r="D229" s="20">
        <v>25</v>
      </c>
      <c r="E229" s="20"/>
      <c r="F229" s="69"/>
      <c r="G229" s="69"/>
      <c r="H229" s="21" t="s">
        <v>207</v>
      </c>
    </row>
    <row r="230" ht="21.15" customHeight="1" spans="1:8">
      <c r="A230" s="18">
        <v>171</v>
      </c>
      <c r="B230" s="19" t="s">
        <v>374</v>
      </c>
      <c r="C230" s="19">
        <v>2</v>
      </c>
      <c r="D230" s="20">
        <v>28</v>
      </c>
      <c r="E230" s="20"/>
      <c r="F230" s="69"/>
      <c r="G230" s="69"/>
      <c r="H230" s="21" t="s">
        <v>207</v>
      </c>
    </row>
    <row r="231" ht="52.5" customHeight="1" spans="1:8">
      <c r="A231" s="18">
        <v>172</v>
      </c>
      <c r="B231" s="19" t="s">
        <v>375</v>
      </c>
      <c r="C231" s="19">
        <v>1</v>
      </c>
      <c r="D231" s="20">
        <v>22</v>
      </c>
      <c r="E231" s="20"/>
      <c r="F231" s="69"/>
      <c r="G231" s="69"/>
      <c r="H231" s="21" t="s">
        <v>207</v>
      </c>
    </row>
    <row r="232" ht="53.25" customHeight="1" spans="1:8">
      <c r="A232" s="18">
        <v>173</v>
      </c>
      <c r="B232" s="19" t="s">
        <v>376</v>
      </c>
      <c r="C232" s="19">
        <v>1</v>
      </c>
      <c r="D232" s="20">
        <v>25</v>
      </c>
      <c r="E232" s="20"/>
      <c r="F232" s="70"/>
      <c r="G232" s="70"/>
      <c r="H232" s="21" t="s">
        <v>207</v>
      </c>
    </row>
    <row r="233" ht="21.15" customHeight="1" spans="1:8">
      <c r="A233" s="28"/>
      <c r="B233" s="25" t="s">
        <v>38</v>
      </c>
      <c r="C233" s="25">
        <f>SUM(C222:C232)</f>
        <v>21</v>
      </c>
      <c r="D233" s="25"/>
      <c r="E233" s="49">
        <f>SUM(E222:E232)</f>
        <v>250</v>
      </c>
      <c r="F233" s="71"/>
      <c r="G233" s="21"/>
      <c r="H233" s="28"/>
    </row>
    <row r="234" ht="27.15" customHeight="1" spans="1:8">
      <c r="A234" s="37"/>
      <c r="B234" s="38" t="s">
        <v>7</v>
      </c>
      <c r="C234" s="39">
        <f>C216+C201+C184+C165+C134+C100</f>
        <v>62</v>
      </c>
      <c r="D234" s="39"/>
      <c r="E234" s="40">
        <f>E164+E167+E180+E192+E201+E214+E220+E233</f>
        <v>3314.76</v>
      </c>
      <c r="F234" s="41"/>
      <c r="G234" s="41"/>
      <c r="H234" s="41"/>
    </row>
    <row r="235" ht="42.5" customHeight="1" spans="1:8">
      <c r="A235" s="37"/>
      <c r="B235" s="38" t="s">
        <v>377</v>
      </c>
      <c r="C235" s="40">
        <f>C152+C234</f>
        <v>235</v>
      </c>
      <c r="D235" s="39"/>
      <c r="E235" s="40">
        <f>E152+E234</f>
        <v>5861.1817</v>
      </c>
      <c r="F235" s="41"/>
      <c r="G235" s="41"/>
      <c r="H235" s="41"/>
    </row>
    <row r="236" ht="52.5" customHeight="1" spans="4:6">
      <c r="D236" s="72" t="s">
        <v>378</v>
      </c>
      <c r="E236" s="72">
        <f>E235-H1</f>
        <v>636.3317</v>
      </c>
      <c r="F236" s="2">
        <f>E236-E233</f>
        <v>386.3317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236" etc:filterBottomFollowUsedRange="0">
    <extLst/>
  </autoFilter>
  <mergeCells count="22">
    <mergeCell ref="A1:F1"/>
    <mergeCell ref="A2:H2"/>
    <mergeCell ref="A4:H4"/>
    <mergeCell ref="A153:H153"/>
    <mergeCell ref="F222:F232"/>
    <mergeCell ref="G222:G232"/>
    <mergeCell ref="H6:H11"/>
    <mergeCell ref="H12:H17"/>
    <mergeCell ref="H20:H51"/>
    <mergeCell ref="H55:H84"/>
    <mergeCell ref="H87:H103"/>
    <mergeCell ref="H106:H109"/>
    <mergeCell ref="H110:H119"/>
    <mergeCell ref="H122:H133"/>
    <mergeCell ref="H136:H150"/>
    <mergeCell ref="I154:I164"/>
    <mergeCell ref="I168:I180"/>
    <mergeCell ref="I181:I192"/>
    <mergeCell ref="I193:I201"/>
    <mergeCell ref="I203:I213"/>
    <mergeCell ref="I215:I220"/>
    <mergeCell ref="J154:J220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采购版本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23188</dc:creator>
  <cp:lastModifiedBy>马雨浓</cp:lastModifiedBy>
  <dcterms:created xsi:type="dcterms:W3CDTF">2025-03-25T18:03:00Z</dcterms:created>
  <dcterms:modified xsi:type="dcterms:W3CDTF">2025-07-07T05:43:06Z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961CD3E163934605AEDC81262D749DDE_13</vt:lpwstr>
  </property>
  <property fmtid="{D5CDD505-2E9C-101B-9397-08002B2CF9AE}" pid="3" name="KSOProductBuildVer">
    <vt:lpwstr>2052-12.1.0.21541</vt:lpwstr>
  </property>
</Properties>
</file>